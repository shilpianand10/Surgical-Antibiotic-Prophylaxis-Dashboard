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lpi Anand\OneDrive\Desktop\"/>
    </mc:Choice>
  </mc:AlternateContent>
  <xr:revisionPtr revIDLastSave="0" documentId="8_{877DC98F-5E87-4597-8529-83A36C699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. of Surgeries" sheetId="1" r:id="rId1"/>
    <sheet name="Right Choice" sheetId="2" r:id="rId2"/>
    <sheet name="Right Dose" sheetId="3" r:id="rId3"/>
    <sheet name="Right Time" sheetId="4" r:id="rId4"/>
    <sheet name="Stopped within 24 hours" sheetId="5" r:id="rId5"/>
    <sheet name="No discharge Prophylaxi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6" l="1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S8" i="6" l="1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S7" i="6" l="1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R6" i="6" l="1"/>
  <c r="Q6" i="6"/>
  <c r="P6" i="6"/>
  <c r="O6" i="6"/>
  <c r="N6" i="6"/>
  <c r="M6" i="6"/>
  <c r="L6" i="6"/>
  <c r="J6" i="6"/>
  <c r="I6" i="6"/>
  <c r="H6" i="6"/>
  <c r="G6" i="6"/>
  <c r="F6" i="6"/>
  <c r="E6" i="6"/>
  <c r="D6" i="6"/>
  <c r="C6" i="6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R5" i="6" l="1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R4" i="6" l="1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S3" i="6" l="1"/>
  <c r="U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S3" i="5"/>
  <c r="U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S3" i="4"/>
  <c r="U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S3" i="3"/>
  <c r="U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S3" i="2"/>
  <c r="U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R2" i="6" l="1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<sst xmlns="http://schemas.openxmlformats.org/spreadsheetml/2006/main" count="375" uniqueCount="38">
  <si>
    <t xml:space="preserve">Month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</si>
  <si>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</si>
  <si>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</si>
  <si>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</si>
  <si>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</si>
  <si>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</si>
  <si>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</si>
  <si>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</si>
  <si>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</si>
  <si>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</si>
  <si>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</si>
  <si>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</si>
  <si>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</si>
  <si>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Ophthalmology  </t>
  </si>
  <si>
    <t>GI Surgery</t>
  </si>
  <si>
    <t xml:space="preserve">Pediatric Neurosurgery  </t>
  </si>
  <si>
    <t>Pediatric Orthopaedics</t>
  </si>
  <si>
    <t xml:space="preserve">Urology </t>
  </si>
  <si>
    <t>Adult CVTS</t>
  </si>
  <si>
    <t>ENT</t>
  </si>
  <si>
    <t xml:space="preserve">Neurosurgery  </t>
  </si>
  <si>
    <t xml:space="preserve">Pediatric Surgery  </t>
  </si>
  <si>
    <t>Head &amp; Neck</t>
  </si>
  <si>
    <t>Month</t>
  </si>
  <si>
    <t>No Antibiotics</t>
  </si>
  <si>
    <t>Plastic Surgery</t>
  </si>
  <si>
    <t xml:space="preserve">Orthopaedics </t>
  </si>
  <si>
    <t>HBP Surgery</t>
  </si>
  <si>
    <t>Anaesthetist</t>
  </si>
  <si>
    <t>Dental</t>
  </si>
  <si>
    <t xml:space="preserve">Paediatric CVTS  </t>
  </si>
  <si>
    <t xml:space="preserve">Breast Surgery  </t>
  </si>
  <si>
    <t>OBG</t>
  </si>
  <si>
    <t>General Surgery</t>
  </si>
  <si>
    <t>Foetal Medicine</t>
  </si>
  <si>
    <t>Cath Lab</t>
  </si>
  <si>
    <t>_</t>
  </si>
  <si>
    <t>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</si>
</sst>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164" fontId="4" fillId="4" borderId="1" xfId="0" applyNumberFormat="1" applyFont="1" applyFill="1" applyBorder="1" applyAlignment="1">
      <alignment horizontal="left" wrapText="1"/>
    </xf>
    <xf numFmtId="164" fontId="4" fillId="5" borderId="1" xfId="0" applyNumberFormat="1" applyFont="1" applyFill="1" applyBorder="1" applyAlignment="1">
      <alignment horizontal="left" wrapText="1"/>
    </xf>
    <xf numFmtId="164" fontId="4" fillId="12" borderId="1" xfId="0" applyNumberFormat="1" applyFont="1" applyFill="1" applyBorder="1" applyAlignment="1">
      <alignment horizontal="left" wrapText="1"/>
    </xf>
    <xf numFmtId="164" fontId="4" fillId="6" borderId="1" xfId="0" applyNumberFormat="1" applyFont="1" applyFill="1" applyBorder="1" applyAlignment="1">
      <alignment horizontal="left" wrapText="1"/>
    </xf>
    <xf numFmtId="164" fontId="5" fillId="2" borderId="1" xfId="1" applyNumberFormat="1" applyFont="1" applyBorder="1" applyAlignment="1">
      <alignment horizontal="left" wrapText="1"/>
    </xf>
    <xf numFmtId="164" fontId="5" fillId="13" borderId="1" xfId="1" applyNumberFormat="1" applyFont="1" applyFill="1" applyBorder="1" applyAlignment="1">
      <alignment horizontal="left" wrapText="1"/>
    </xf>
    <xf numFmtId="164" fontId="0" fillId="14" borderId="1" xfId="1" applyNumberFormat="1" applyFont="1" applyFill="1" applyBorder="1" applyAlignment="1">
      <alignment horizontal="left" wrapText="1"/>
    </xf>
    <xf numFmtId="164" fontId="4" fillId="8" borderId="1" xfId="0" applyNumberFormat="1" applyFont="1" applyFill="1" applyBorder="1" applyAlignment="1">
      <alignment horizontal="left" wrapText="1"/>
    </xf>
    <xf numFmtId="164" fontId="4" fillId="13" borderId="1" xfId="0" applyNumberFormat="1" applyFont="1" applyFill="1" applyBorder="1" applyAlignment="1">
      <alignment horizontal="left" wrapText="1"/>
    </xf>
    <xf numFmtId="164" fontId="4" fillId="10" borderId="1" xfId="0" applyNumberFormat="1" applyFont="1" applyFill="1" applyBorder="1" applyAlignment="1">
      <alignment horizontal="left" wrapText="1"/>
    </xf>
    <xf numFmtId="164" fontId="4" fillId="10" borderId="2" xfId="0" applyNumberFormat="1" applyFont="1" applyFill="1" applyBorder="1" applyAlignment="1">
      <alignment horizontal="left" wrapText="1"/>
    </xf>
    <xf numFmtId="164" fontId="4" fillId="11" borderId="2" xfId="0" applyNumberFormat="1" applyFont="1" applyFill="1" applyBorder="1" applyAlignment="1">
      <alignment horizontal="left" wrapText="1"/>
    </xf>
    <xf numFmtId="164" fontId="4" fillId="10" borderId="4" xfId="0" applyNumberFormat="1" applyFont="1" applyFill="1" applyBorder="1" applyAlignment="1">
      <alignment horizontal="left" wrapText="1"/>
    </xf>
    <xf numFmtId="164" fontId="4" fillId="7" borderId="2" xfId="0" applyNumberFormat="1" applyFont="1" applyFill="1" applyBorder="1" applyAlignment="1">
      <alignment horizontal="left" wrapText="1"/>
    </xf>
    <xf numFmtId="164" fontId="0" fillId="0" borderId="0" xfId="0" applyNumberFormat="1" applyAlignment="1">
      <alignment wrapText="1"/>
    </xf>
    <xf numFmtId="164" fontId="4" fillId="9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 wrapText="1"/>
    </xf>
    <xf numFmtId="164" fontId="4" fillId="12" borderId="1" xfId="0" applyNumberFormat="1" applyFont="1" applyFill="1" applyBorder="1" applyAlignment="1">
      <alignment horizontal="center" wrapText="1"/>
    </xf>
    <xf numFmtId="164" fontId="4" fillId="10" borderId="1" xfId="0" applyNumberFormat="1" applyFont="1" applyFill="1" applyBorder="1" applyAlignment="1">
      <alignment horizontal="center" wrapText="1"/>
    </xf>
    <xf numFmtId="164" fontId="4" fillId="6" borderId="1" xfId="0" applyNumberFormat="1" applyFont="1" applyFill="1" applyBorder="1" applyAlignment="1">
      <alignment horizontal="center" wrapText="1"/>
    </xf>
    <xf numFmtId="164" fontId="5" fillId="2" borderId="1" xfId="1" applyNumberFormat="1" applyFont="1" applyBorder="1" applyAlignment="1">
      <alignment horizontal="center" wrapText="1"/>
    </xf>
    <xf numFmtId="164" fontId="5" fillId="13" borderId="1" xfId="1" applyNumberFormat="1" applyFont="1" applyFill="1" applyBorder="1" applyAlignment="1">
      <alignment horizontal="center" wrapText="1"/>
    </xf>
    <xf numFmtId="164" fontId="0" fillId="14" borderId="1" xfId="1" applyNumberFormat="1" applyFont="1" applyFill="1" applyBorder="1" applyAlignment="1">
      <alignment horizontal="center" wrapText="1"/>
    </xf>
    <xf numFmtId="164" fontId="4" fillId="8" borderId="1" xfId="0" applyNumberFormat="1" applyFont="1" applyFill="1" applyBorder="1" applyAlignment="1">
      <alignment horizontal="center" wrapText="1"/>
    </xf>
    <xf numFmtId="164" fontId="4" fillId="13" borderId="1" xfId="0" applyNumberFormat="1" applyFont="1" applyFill="1" applyBorder="1" applyAlignment="1">
      <alignment horizontal="center" wrapText="1"/>
    </xf>
    <xf numFmtId="164" fontId="4" fillId="10" borderId="2" xfId="0" applyNumberFormat="1" applyFont="1" applyFill="1" applyBorder="1" applyAlignment="1">
      <alignment horizontal="center" wrapText="1"/>
    </xf>
    <xf numFmtId="164" fontId="4" fillId="10" borderId="4" xfId="0" applyNumberFormat="1" applyFont="1" applyFill="1" applyBorder="1" applyAlignment="1">
      <alignment horizontal="center" wrapText="1"/>
    </xf>
    <xf numFmtId="164" fontId="4" fillId="7" borderId="1" xfId="0" applyNumberFormat="1" applyFont="1" applyFill="1" applyBorder="1" applyAlignment="1">
      <alignment horizontal="center" wrapText="1"/>
    </xf>
    <xf numFmtId="164" fontId="5" fillId="15" borderId="1" xfId="1" applyNumberFormat="1" applyFont="1" applyFill="1" applyBorder="1" applyAlignment="1">
      <alignment horizontal="center" wrapText="1"/>
    </xf>
    <xf numFmtId="164" fontId="4" fillId="16" borderId="1" xfId="0" applyNumberFormat="1" applyFont="1" applyFill="1" applyBorder="1" applyAlignment="1">
      <alignment horizontal="center" wrapText="1"/>
    </xf>
    <xf numFmtId="164" fontId="4" fillId="11" borderId="1" xfId="0" applyNumberFormat="1" applyFont="1" applyFill="1" applyBorder="1" applyAlignment="1">
      <alignment horizontal="center" wrapText="1"/>
    </xf>
    <xf numFmtId="164" fontId="4" fillId="11" borderId="2" xfId="0" applyNumberFormat="1" applyFont="1" applyFill="1" applyBorder="1" applyAlignment="1">
      <alignment horizontal="center" wrapText="1"/>
    </xf>
    <xf numFmtId="164" fontId="4" fillId="7" borderId="2" xfId="0" applyNumberFormat="1" applyFont="1" applyFill="1" applyBorder="1" applyAlignment="1">
      <alignment horizontal="center" wrapText="1"/>
    </xf>
    <xf numFmtId="164" fontId="4" fillId="15" borderId="1" xfId="0" applyNumberFormat="1" applyFont="1" applyFill="1" applyBorder="1" applyAlignment="1">
      <alignment horizontal="center" wrapText="1"/>
    </xf>
    <xf numFmtId="164" fontId="0" fillId="13" borderId="1" xfId="1" applyNumberFormat="1" applyFont="1" applyFill="1" applyBorder="1" applyAlignment="1">
      <alignment horizontal="center" wrapText="1"/>
    </xf>
    <xf numFmtId="164" fontId="0" fillId="12" borderId="1" xfId="1" applyNumberFormat="1" applyFont="1" applyFill="1" applyBorder="1" applyAlignment="1">
      <alignment horizontal="center" wrapText="1"/>
    </xf>
    <xf numFmtId="164" fontId="4" fillId="14" borderId="1" xfId="0" applyNumberFormat="1" applyFont="1" applyFill="1" applyBorder="1" applyAlignment="1">
      <alignment horizontal="center" wrapText="1"/>
    </xf>
    <xf numFmtId="164" fontId="0" fillId="6" borderId="1" xfId="1" applyNumberFormat="1" applyFont="1" applyFill="1" applyBorder="1" applyAlignment="1">
      <alignment horizontal="center" wrapText="1"/>
    </xf>
    <xf numFmtId="164" fontId="4" fillId="17" borderId="1" xfId="0" applyNumberFormat="1" applyFont="1" applyFill="1" applyBorder="1" applyAlignment="1">
      <alignment horizontal="center" wrapText="1"/>
    </xf>
    <xf numFmtId="164" fontId="4" fillId="18" borderId="1" xfId="0" applyNumberFormat="1" applyFont="1" applyFill="1" applyBorder="1" applyAlignment="1">
      <alignment horizontal="center" wrapText="1"/>
    </xf>
    <xf numFmtId="164" fontId="5" fillId="3" borderId="1" xfId="1" applyNumberFormat="1" applyFont="1" applyFill="1" applyBorder="1" applyAlignment="1">
      <alignment horizontal="center" wrapText="1"/>
    </xf>
    <xf numFmtId="164" fontId="5" fillId="18" borderId="1" xfId="1" applyNumberFormat="1" applyFont="1" applyFill="1" applyBorder="1" applyAlignment="1">
      <alignment horizontal="center" wrapText="1"/>
    </xf>
    <xf numFmtId="164" fontId="0" fillId="18" borderId="1" xfId="1" applyNumberFormat="1" applyFont="1" applyFill="1" applyBorder="1" applyAlignment="1">
      <alignment horizontal="center" wrapText="1"/>
    </xf>
    <xf numFmtId="164" fontId="4" fillId="17" borderId="2" xfId="0" applyNumberFormat="1" applyFont="1" applyFill="1" applyBorder="1" applyAlignment="1">
      <alignment horizontal="center" wrapText="1"/>
    </xf>
    <xf numFmtId="164" fontId="4" fillId="10" borderId="0" xfId="0" applyNumberFormat="1" applyFont="1" applyFill="1" applyAlignment="1">
      <alignment horizontal="center" wrapText="1"/>
    </xf>
    <xf numFmtId="164" fontId="4" fillId="19" borderId="1" xfId="0" applyNumberFormat="1" applyFont="1" applyFill="1" applyBorder="1" applyAlignment="1">
      <alignment horizontal="center" wrapText="1"/>
    </xf>
    <xf numFmtId="164" fontId="4" fillId="20" borderId="1" xfId="0" applyNumberFormat="1" applyFont="1" applyFill="1" applyBorder="1" applyAlignment="1">
      <alignment horizontal="center" wrapText="1"/>
    </xf>
    <xf numFmtId="164" fontId="0" fillId="20" borderId="1" xfId="1" applyNumberFormat="1" applyFont="1" applyFill="1" applyBorder="1" applyAlignment="1">
      <alignment horizontal="center" wrapText="1"/>
    </xf>
    <xf numFmtId="164" fontId="4" fillId="19" borderId="2" xfId="0" applyNumberFormat="1" applyFont="1" applyFill="1" applyBorder="1" applyAlignment="1">
      <alignment horizontal="center" wrapText="1"/>
    </xf>
    <xf numFmtId="164" fontId="4" fillId="21" borderId="1" xfId="0" applyNumberFormat="1" applyFont="1" applyFill="1" applyBorder="1" applyAlignment="1">
      <alignment horizontal="center" wrapText="1"/>
    </xf>
    <xf numFmtId="164" fontId="4" fillId="22" borderId="1" xfId="0" applyNumberFormat="1" applyFont="1" applyFill="1" applyBorder="1" applyAlignment="1">
      <alignment horizontal="center" wrapText="1"/>
    </xf>
    <xf numFmtId="164" fontId="1" fillId="22" borderId="1" xfId="1" applyNumberFormat="1" applyFont="1" applyFill="1" applyBorder="1" applyAlignment="1">
      <alignment horizontal="center" wrapText="1"/>
    </xf>
    <xf numFmtId="164" fontId="4" fillId="21" borderId="5" xfId="0" applyNumberFormat="1" applyFont="1" applyFill="1" applyBorder="1" applyAlignment="1">
      <alignment horizontal="center" wrapText="1"/>
    </xf>
    <xf numFmtId="164" fontId="4" fillId="21" borderId="6" xfId="0" applyNumberFormat="1" applyFont="1" applyFill="1" applyBorder="1" applyAlignment="1">
      <alignment horizontal="center" wrapText="1"/>
    </xf>
    <xf numFmtId="164" fontId="4" fillId="21" borderId="7" xfId="0" applyNumberFormat="1" applyFont="1" applyFill="1" applyBorder="1" applyAlignment="1">
      <alignment horizontal="center" wrapText="1"/>
    </xf>
    <xf numFmtId="43" fontId="4" fillId="5" borderId="1" xfId="2" applyFont="1" applyFill="1" applyBorder="1" applyAlignment="1">
      <alignment horizontal="left" vertical="top" wrapText="1"/>
    </xf>
    <xf numFmtId="43" fontId="4" fillId="6" borderId="1" xfId="2" applyFont="1" applyFill="1" applyBorder="1" applyAlignment="1">
      <alignment horizontal="left" vertical="top" wrapText="1"/>
    </xf>
    <xf numFmtId="43" fontId="5" fillId="2" borderId="1" xfId="2" applyFont="1" applyFill="1" applyBorder="1" applyAlignment="1">
      <alignment horizontal="left" vertical="top" wrapText="1"/>
    </xf>
    <xf numFmtId="43" fontId="5" fillId="15" borderId="1" xfId="2" applyFont="1" applyFill="1" applyBorder="1" applyAlignment="1">
      <alignment horizontal="left" vertical="top" wrapText="1"/>
    </xf>
    <xf numFmtId="43" fontId="0" fillId="14" borderId="1" xfId="2" applyFont="1" applyFill="1" applyBorder="1" applyAlignment="1">
      <alignment horizontal="left" vertical="top" wrapText="1"/>
    </xf>
    <xf numFmtId="43" fontId="5" fillId="13" borderId="1" xfId="2" applyFont="1" applyFill="1" applyBorder="1" applyAlignment="1">
      <alignment horizontal="left" vertical="top" wrapText="1"/>
    </xf>
    <xf numFmtId="43" fontId="4" fillId="16" borderId="1" xfId="2" applyFont="1" applyFill="1" applyBorder="1" applyAlignment="1">
      <alignment horizontal="left" vertical="top" wrapText="1"/>
    </xf>
    <xf numFmtId="43" fontId="4" fillId="13" borderId="1" xfId="2" applyFont="1" applyFill="1" applyBorder="1" applyAlignment="1">
      <alignment horizontal="left" vertical="top" wrapText="1"/>
    </xf>
    <xf numFmtId="43" fontId="4" fillId="10" borderId="1" xfId="2" applyFont="1" applyFill="1" applyBorder="1" applyAlignment="1">
      <alignment horizontal="left" vertical="top" wrapText="1"/>
    </xf>
    <xf numFmtId="43" fontId="4" fillId="11" borderId="1" xfId="2" applyFont="1" applyFill="1" applyBorder="1" applyAlignment="1">
      <alignment horizontal="left" vertical="top" wrapText="1"/>
    </xf>
    <xf numFmtId="43" fontId="4" fillId="11" borderId="2" xfId="2" applyFont="1" applyFill="1" applyBorder="1" applyAlignment="1">
      <alignment horizontal="left" vertical="top" wrapText="1"/>
    </xf>
    <xf numFmtId="43" fontId="4" fillId="11" borderId="4" xfId="2" applyFont="1" applyFill="1" applyBorder="1" applyAlignment="1">
      <alignment horizontal="left" vertical="top" wrapText="1"/>
    </xf>
    <xf numFmtId="43" fontId="4" fillId="7" borderId="2" xfId="2" applyFont="1" applyFill="1" applyBorder="1" applyAlignment="1">
      <alignment horizontal="left" vertical="top" wrapText="1"/>
    </xf>
    <xf numFmtId="43" fontId="0" fillId="0" borderId="0" xfId="2" applyFont="1" applyAlignment="1">
      <alignment vertical="top" wrapText="1"/>
    </xf>
    <xf numFmtId="43" fontId="4" fillId="5" borderId="1" xfId="2" applyFont="1" applyFill="1" applyBorder="1" applyAlignment="1">
      <alignment horizontal="center" vertical="top" wrapText="1"/>
    </xf>
    <xf numFmtId="43" fontId="4" fillId="12" borderId="1" xfId="2" applyFont="1" applyFill="1" applyBorder="1" applyAlignment="1">
      <alignment horizontal="center" vertical="top" wrapText="1"/>
    </xf>
    <xf numFmtId="43" fontId="4" fillId="6" borderId="1" xfId="2" applyFont="1" applyFill="1" applyBorder="1" applyAlignment="1">
      <alignment horizontal="center" vertical="top" wrapText="1"/>
    </xf>
    <xf numFmtId="43" fontId="5" fillId="2" borderId="1" xfId="2" applyFont="1" applyFill="1" applyBorder="1" applyAlignment="1">
      <alignment horizontal="center" vertical="top" wrapText="1"/>
    </xf>
    <xf numFmtId="43" fontId="5" fillId="13" borderId="1" xfId="2" applyFont="1" applyFill="1" applyBorder="1" applyAlignment="1">
      <alignment horizontal="center" vertical="top" wrapText="1"/>
    </xf>
    <xf numFmtId="43" fontId="0" fillId="14" borderId="1" xfId="2" applyFont="1" applyFill="1" applyBorder="1" applyAlignment="1">
      <alignment horizontal="center" vertical="top" wrapText="1"/>
    </xf>
    <xf numFmtId="43" fontId="4" fillId="8" borderId="1" xfId="2" applyFont="1" applyFill="1" applyBorder="1" applyAlignment="1">
      <alignment horizontal="center" vertical="top" wrapText="1"/>
    </xf>
    <xf numFmtId="43" fontId="4" fillId="13" borderId="1" xfId="2" applyFont="1" applyFill="1" applyBorder="1" applyAlignment="1">
      <alignment horizontal="center" vertical="top" wrapText="1"/>
    </xf>
    <xf numFmtId="43" fontId="4" fillId="10" borderId="1" xfId="2" applyFont="1" applyFill="1" applyBorder="1" applyAlignment="1">
      <alignment horizontal="center" vertical="top" wrapText="1"/>
    </xf>
    <xf numFmtId="43" fontId="4" fillId="10" borderId="2" xfId="2" applyFont="1" applyFill="1" applyBorder="1" applyAlignment="1">
      <alignment horizontal="center" vertical="top" wrapText="1"/>
    </xf>
    <xf numFmtId="43" fontId="5" fillId="15" borderId="1" xfId="2" applyFont="1" applyFill="1" applyBorder="1" applyAlignment="1">
      <alignment horizontal="center" vertical="top" wrapText="1"/>
    </xf>
    <xf numFmtId="43" fontId="4" fillId="16" borderId="1" xfId="2" applyFont="1" applyFill="1" applyBorder="1" applyAlignment="1">
      <alignment horizontal="center" vertical="top" wrapText="1"/>
    </xf>
    <xf numFmtId="43" fontId="4" fillId="11" borderId="1" xfId="2" applyFont="1" applyFill="1" applyBorder="1" applyAlignment="1">
      <alignment horizontal="center" vertical="top" wrapText="1"/>
    </xf>
    <xf numFmtId="43" fontId="4" fillId="11" borderId="2" xfId="2" applyFont="1" applyFill="1" applyBorder="1" applyAlignment="1">
      <alignment horizontal="center" vertical="top" wrapText="1"/>
    </xf>
    <xf numFmtId="43" fontId="0" fillId="14" borderId="2" xfId="2" applyFont="1" applyFill="1" applyBorder="1" applyAlignment="1">
      <alignment vertical="top" wrapText="1"/>
    </xf>
    <xf numFmtId="43" fontId="0" fillId="6" borderId="2" xfId="2" applyFont="1" applyFill="1" applyBorder="1" applyAlignment="1">
      <alignment vertical="top" wrapText="1"/>
    </xf>
    <xf numFmtId="43" fontId="4" fillId="15" borderId="1" xfId="2" applyFont="1" applyFill="1" applyBorder="1" applyAlignment="1">
      <alignment horizontal="center" vertical="top" wrapText="1"/>
    </xf>
    <xf numFmtId="43" fontId="0" fillId="13" borderId="1" xfId="2" applyFont="1" applyFill="1" applyBorder="1" applyAlignment="1">
      <alignment horizontal="center" vertical="top" wrapText="1"/>
    </xf>
    <xf numFmtId="43" fontId="0" fillId="12" borderId="1" xfId="2" applyFont="1" applyFill="1" applyBorder="1" applyAlignment="1">
      <alignment horizontal="center" vertical="top" wrapText="1"/>
    </xf>
    <xf numFmtId="43" fontId="4" fillId="14" borderId="1" xfId="2" applyFont="1" applyFill="1" applyBorder="1" applyAlignment="1">
      <alignment horizontal="center" vertical="top" wrapText="1"/>
    </xf>
    <xf numFmtId="43" fontId="0" fillId="6" borderId="1" xfId="2" applyFont="1" applyFill="1" applyBorder="1" applyAlignment="1">
      <alignment horizontal="center" vertical="top" wrapText="1"/>
    </xf>
    <xf numFmtId="43" fontId="4" fillId="7" borderId="1" xfId="2" applyFont="1" applyFill="1" applyBorder="1" applyAlignment="1">
      <alignment horizontal="center" vertical="top" wrapText="1"/>
    </xf>
    <xf numFmtId="43" fontId="4" fillId="17" borderId="1" xfId="2" applyFont="1" applyFill="1" applyBorder="1" applyAlignment="1">
      <alignment horizontal="center" vertical="top" wrapText="1"/>
    </xf>
    <xf numFmtId="43" fontId="4" fillId="18" borderId="1" xfId="2" applyFont="1" applyFill="1" applyBorder="1" applyAlignment="1">
      <alignment horizontal="center" vertical="top" wrapText="1"/>
    </xf>
    <xf numFmtId="43" fontId="5" fillId="3" borderId="1" xfId="2" applyFont="1" applyFill="1" applyBorder="1" applyAlignment="1">
      <alignment horizontal="center" vertical="top" wrapText="1"/>
    </xf>
    <xf numFmtId="43" fontId="5" fillId="18" borderId="1" xfId="2" applyFont="1" applyFill="1" applyBorder="1" applyAlignment="1">
      <alignment horizontal="center" vertical="top" wrapText="1"/>
    </xf>
    <xf numFmtId="43" fontId="0" fillId="18" borderId="1" xfId="2" applyFont="1" applyFill="1" applyBorder="1" applyAlignment="1">
      <alignment horizontal="center" vertical="top" wrapText="1"/>
    </xf>
    <xf numFmtId="43" fontId="4" fillId="17" borderId="2" xfId="2" applyFont="1" applyFill="1" applyBorder="1" applyAlignment="1">
      <alignment horizontal="center" vertical="top" wrapText="1"/>
    </xf>
    <xf numFmtId="43" fontId="4" fillId="7" borderId="2" xfId="2" applyFont="1" applyFill="1" applyBorder="1" applyAlignment="1">
      <alignment horizontal="center" vertical="top" wrapText="1"/>
    </xf>
    <xf numFmtId="43" fontId="1" fillId="12" borderId="1" xfId="2" applyFont="1" applyFill="1" applyBorder="1" applyAlignment="1">
      <alignment horizontal="center" vertical="top" wrapText="1"/>
    </xf>
    <xf numFmtId="43" fontId="4" fillId="11" borderId="5" xfId="2" applyFont="1" applyFill="1" applyBorder="1" applyAlignment="1">
      <alignment horizontal="center" vertical="top" wrapText="1"/>
    </xf>
    <xf numFmtId="43" fontId="4" fillId="4" borderId="1" xfId="2" applyFont="1" applyFill="1" applyBorder="1" applyAlignment="1">
      <alignment horizontal="left"/>
    </xf>
    <xf numFmtId="43" fontId="4" fillId="5" borderId="1" xfId="2" applyFont="1" applyFill="1" applyBorder="1" applyAlignment="1">
      <alignment horizontal="left"/>
    </xf>
    <xf numFmtId="43" fontId="4" fillId="12" borderId="1" xfId="2" applyFont="1" applyFill="1" applyBorder="1" applyAlignment="1">
      <alignment horizontal="left"/>
    </xf>
    <xf numFmtId="43" fontId="4" fillId="6" borderId="1" xfId="2" applyFont="1" applyFill="1" applyBorder="1" applyAlignment="1">
      <alignment horizontal="left"/>
    </xf>
    <xf numFmtId="43" fontId="5" fillId="2" borderId="1" xfId="2" applyFont="1" applyFill="1" applyBorder="1" applyAlignment="1">
      <alignment horizontal="left"/>
    </xf>
    <xf numFmtId="43" fontId="5" fillId="13" borderId="1" xfId="2" applyFont="1" applyFill="1" applyBorder="1" applyAlignment="1">
      <alignment horizontal="left"/>
    </xf>
    <xf numFmtId="43" fontId="0" fillId="14" borderId="1" xfId="2" applyFont="1" applyFill="1" applyBorder="1" applyAlignment="1">
      <alignment horizontal="left"/>
    </xf>
    <xf numFmtId="43" fontId="4" fillId="8" borderId="1" xfId="2" applyFont="1" applyFill="1" applyBorder="1" applyAlignment="1">
      <alignment horizontal="left"/>
    </xf>
    <xf numFmtId="43" fontId="4" fillId="13" borderId="1" xfId="2" applyFont="1" applyFill="1" applyBorder="1" applyAlignment="1">
      <alignment horizontal="left"/>
    </xf>
    <xf numFmtId="43" fontId="4" fillId="10" borderId="1" xfId="2" applyFont="1" applyFill="1" applyBorder="1" applyAlignment="1">
      <alignment horizontal="left"/>
    </xf>
    <xf numFmtId="43" fontId="4" fillId="10" borderId="2" xfId="2" applyFont="1" applyFill="1" applyBorder="1" applyAlignment="1">
      <alignment horizontal="left"/>
    </xf>
    <xf numFmtId="43" fontId="4" fillId="11" borderId="2" xfId="2" applyFont="1" applyFill="1" applyBorder="1" applyAlignment="1">
      <alignment horizontal="left"/>
    </xf>
    <xf numFmtId="43" fontId="4" fillId="10" borderId="4" xfId="2" applyFont="1" applyFill="1" applyBorder="1" applyAlignment="1">
      <alignment horizontal="left"/>
    </xf>
    <xf numFmtId="43" fontId="4" fillId="7" borderId="2" xfId="2" applyFont="1" applyFill="1" applyBorder="1" applyAlignment="1">
      <alignment horizontal="left"/>
    </xf>
    <xf numFmtId="43" fontId="4" fillId="9" borderId="1" xfId="2" applyFont="1" applyFill="1" applyBorder="1" applyAlignment="1">
      <alignment horizontal="center"/>
    </xf>
    <xf numFmtId="43" fontId="4" fillId="5" borderId="1" xfId="2" applyFont="1" applyFill="1" applyBorder="1" applyAlignment="1">
      <alignment horizontal="center"/>
    </xf>
    <xf numFmtId="43" fontId="4" fillId="12" borderId="1" xfId="2" applyFont="1" applyFill="1" applyBorder="1" applyAlignment="1">
      <alignment horizontal="center"/>
    </xf>
    <xf numFmtId="43" fontId="4" fillId="6" borderId="1" xfId="2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/>
    </xf>
    <xf numFmtId="43" fontId="5" fillId="13" borderId="1" xfId="2" applyFont="1" applyFill="1" applyBorder="1" applyAlignment="1">
      <alignment horizontal="center"/>
    </xf>
    <xf numFmtId="43" fontId="0" fillId="14" borderId="1" xfId="2" applyFont="1" applyFill="1" applyBorder="1" applyAlignment="1">
      <alignment horizontal="center"/>
    </xf>
    <xf numFmtId="43" fontId="4" fillId="8" borderId="1" xfId="2" applyFont="1" applyFill="1" applyBorder="1" applyAlignment="1">
      <alignment horizontal="center"/>
    </xf>
    <xf numFmtId="43" fontId="4" fillId="13" borderId="1" xfId="2" applyFont="1" applyFill="1" applyBorder="1" applyAlignment="1">
      <alignment horizontal="center"/>
    </xf>
    <xf numFmtId="43" fontId="4" fillId="10" borderId="1" xfId="2" applyFont="1" applyFill="1" applyBorder="1" applyAlignment="1">
      <alignment horizontal="center"/>
    </xf>
    <xf numFmtId="43" fontId="4" fillId="10" borderId="2" xfId="2" applyFont="1" applyFill="1" applyBorder="1" applyAlignment="1">
      <alignment horizontal="center"/>
    </xf>
    <xf numFmtId="43" fontId="0" fillId="0" borderId="0" xfId="2" applyFont="1"/>
    <xf numFmtId="43" fontId="5" fillId="15" borderId="1" xfId="2" applyFont="1" applyFill="1" applyBorder="1" applyAlignment="1">
      <alignment horizontal="center"/>
    </xf>
    <xf numFmtId="43" fontId="4" fillId="16" borderId="1" xfId="2" applyFont="1" applyFill="1" applyBorder="1" applyAlignment="1">
      <alignment horizontal="center"/>
    </xf>
    <xf numFmtId="43" fontId="4" fillId="11" borderId="1" xfId="2" applyFont="1" applyFill="1" applyBorder="1" applyAlignment="1">
      <alignment horizontal="center"/>
    </xf>
    <xf numFmtId="43" fontId="4" fillId="11" borderId="2" xfId="2" applyFont="1" applyFill="1" applyBorder="1" applyAlignment="1">
      <alignment horizontal="center"/>
    </xf>
    <xf numFmtId="43" fontId="0" fillId="14" borderId="2" xfId="2" applyFont="1" applyFill="1" applyBorder="1"/>
    <xf numFmtId="43" fontId="0" fillId="6" borderId="2" xfId="2" applyFont="1" applyFill="1" applyBorder="1"/>
    <xf numFmtId="43" fontId="4" fillId="15" borderId="1" xfId="2" applyFont="1" applyFill="1" applyBorder="1" applyAlignment="1">
      <alignment horizontal="center"/>
    </xf>
    <xf numFmtId="43" fontId="0" fillId="13" borderId="1" xfId="2" applyFont="1" applyFill="1" applyBorder="1" applyAlignment="1">
      <alignment horizontal="center"/>
    </xf>
    <xf numFmtId="43" fontId="0" fillId="12" borderId="1" xfId="2" applyFont="1" applyFill="1" applyBorder="1" applyAlignment="1">
      <alignment horizontal="center"/>
    </xf>
    <xf numFmtId="43" fontId="4" fillId="14" borderId="1" xfId="2" applyFont="1" applyFill="1" applyBorder="1" applyAlignment="1">
      <alignment horizontal="center"/>
    </xf>
    <xf numFmtId="43" fontId="4" fillId="10" borderId="1" xfId="2" applyFont="1" applyFill="1" applyBorder="1" applyAlignment="1">
      <alignment horizontal="center" wrapText="1"/>
    </xf>
    <xf numFmtId="43" fontId="4" fillId="6" borderId="1" xfId="2" applyFont="1" applyFill="1" applyBorder="1" applyAlignment="1">
      <alignment horizontal="center" wrapText="1"/>
    </xf>
    <xf numFmtId="43" fontId="4" fillId="5" borderId="1" xfId="2" applyFont="1" applyFill="1" applyBorder="1" applyAlignment="1">
      <alignment horizontal="center" wrapText="1"/>
    </xf>
    <xf numFmtId="43" fontId="4" fillId="12" borderId="1" xfId="2" applyFont="1" applyFill="1" applyBorder="1" applyAlignment="1">
      <alignment horizontal="center" wrapText="1"/>
    </xf>
    <xf numFmtId="43" fontId="5" fillId="2" borderId="1" xfId="2" applyFont="1" applyFill="1" applyBorder="1" applyAlignment="1">
      <alignment horizontal="center" wrapText="1"/>
    </xf>
    <xf numFmtId="43" fontId="5" fillId="15" borderId="1" xfId="2" applyFont="1" applyFill="1" applyBorder="1" applyAlignment="1">
      <alignment horizontal="center" wrapText="1"/>
    </xf>
    <xf numFmtId="43" fontId="0" fillId="12" borderId="1" xfId="2" applyFont="1" applyFill="1" applyBorder="1" applyAlignment="1">
      <alignment horizontal="center" wrapText="1"/>
    </xf>
    <xf numFmtId="43" fontId="0" fillId="6" borderId="1" xfId="2" applyFont="1" applyFill="1" applyBorder="1" applyAlignment="1">
      <alignment horizontal="center" wrapText="1"/>
    </xf>
    <xf numFmtId="43" fontId="4" fillId="7" borderId="1" xfId="2" applyFont="1" applyFill="1" applyBorder="1" applyAlignment="1">
      <alignment horizontal="center" wrapText="1"/>
    </xf>
    <xf numFmtId="43" fontId="4" fillId="8" borderId="1" xfId="2" applyFont="1" applyFill="1" applyBorder="1" applyAlignment="1">
      <alignment horizontal="center" wrapText="1"/>
    </xf>
    <xf numFmtId="43" fontId="4" fillId="11" borderId="1" xfId="2" applyFont="1" applyFill="1" applyBorder="1" applyAlignment="1">
      <alignment horizontal="center" wrapText="1"/>
    </xf>
    <xf numFmtId="43" fontId="4" fillId="11" borderId="2" xfId="2" applyFont="1" applyFill="1" applyBorder="1" applyAlignment="1">
      <alignment horizontal="center" wrapText="1"/>
    </xf>
    <xf numFmtId="43" fontId="4" fillId="17" borderId="1" xfId="2" applyFont="1" applyFill="1" applyBorder="1" applyAlignment="1">
      <alignment horizontal="center" wrapText="1"/>
    </xf>
    <xf numFmtId="43" fontId="4" fillId="18" borderId="1" xfId="2" applyFont="1" applyFill="1" applyBorder="1" applyAlignment="1">
      <alignment horizontal="center" wrapText="1"/>
    </xf>
    <xf numFmtId="43" fontId="5" fillId="3" borderId="1" xfId="2" applyFont="1" applyFill="1" applyBorder="1" applyAlignment="1">
      <alignment horizontal="center" wrapText="1"/>
    </xf>
    <xf numFmtId="43" fontId="5" fillId="18" borderId="1" xfId="2" applyFont="1" applyFill="1" applyBorder="1" applyAlignment="1">
      <alignment horizontal="center" wrapText="1"/>
    </xf>
    <xf numFmtId="43" fontId="0" fillId="18" borderId="1" xfId="2" applyFont="1" applyFill="1" applyBorder="1" applyAlignment="1">
      <alignment horizontal="center" wrapText="1"/>
    </xf>
    <xf numFmtId="43" fontId="4" fillId="17" borderId="2" xfId="2" applyFont="1" applyFill="1" applyBorder="1" applyAlignment="1">
      <alignment horizontal="center" wrapText="1"/>
    </xf>
    <xf numFmtId="43" fontId="4" fillId="7" borderId="2" xfId="2" applyFont="1" applyFill="1" applyBorder="1" applyAlignment="1">
      <alignment horizontal="center" wrapText="1"/>
    </xf>
    <xf numFmtId="43" fontId="4" fillId="13" borderId="1" xfId="2" applyFont="1" applyFill="1" applyBorder="1" applyAlignment="1">
      <alignment horizontal="center" wrapText="1"/>
    </xf>
    <xf numFmtId="43" fontId="1" fillId="12" borderId="1" xfId="2" applyFont="1" applyFill="1" applyBorder="1" applyAlignment="1">
      <alignment horizontal="center" wrapText="1"/>
    </xf>
    <xf numFmtId="43" fontId="4" fillId="11" borderId="5" xfId="2" applyFont="1" applyFill="1" applyBorder="1" applyAlignment="1">
      <alignment horizontal="center" wrapText="1"/>
    </xf>
    <xf numFmtId="43" fontId="4" fillId="14" borderId="1" xfId="2" applyFont="1" applyFill="1" applyBorder="1" applyAlignment="1">
      <alignment horizontal="center" wrapText="1"/>
    </xf>
    <xf numFmtId="43" fontId="4" fillId="10" borderId="5" xfId="2" applyFont="1" applyFill="1" applyBorder="1" applyAlignment="1">
      <alignment horizontal="center" wrapText="1"/>
    </xf>
    <xf numFmtId="43" fontId="4" fillId="5" borderId="1" xfId="2" applyFont="1" applyFill="1" applyBorder="1" applyAlignment="1">
      <alignment horizontal="left" wrapText="1"/>
    </xf>
    <xf numFmtId="43" fontId="4" fillId="12" borderId="1" xfId="2" applyFont="1" applyFill="1" applyBorder="1" applyAlignment="1">
      <alignment horizontal="left" wrapText="1"/>
    </xf>
    <xf numFmtId="43" fontId="4" fillId="6" borderId="1" xfId="2" applyFont="1" applyFill="1" applyBorder="1" applyAlignment="1">
      <alignment horizontal="left" wrapText="1"/>
    </xf>
    <xf numFmtId="43" fontId="5" fillId="2" borderId="1" xfId="2" applyFont="1" applyFill="1" applyBorder="1" applyAlignment="1">
      <alignment horizontal="left" wrapText="1"/>
    </xf>
    <xf numFmtId="43" fontId="5" fillId="13" borderId="1" xfId="2" applyFont="1" applyFill="1" applyBorder="1" applyAlignment="1">
      <alignment horizontal="left" wrapText="1"/>
    </xf>
    <xf numFmtId="43" fontId="0" fillId="14" borderId="1" xfId="2" applyFont="1" applyFill="1" applyBorder="1" applyAlignment="1">
      <alignment horizontal="left" wrapText="1"/>
    </xf>
    <xf numFmtId="43" fontId="4" fillId="8" borderId="1" xfId="2" applyFont="1" applyFill="1" applyBorder="1" applyAlignment="1">
      <alignment horizontal="left" wrapText="1"/>
    </xf>
    <xf numFmtId="43" fontId="4" fillId="13" borderId="1" xfId="2" applyFont="1" applyFill="1" applyBorder="1" applyAlignment="1">
      <alignment horizontal="left" wrapText="1"/>
    </xf>
    <xf numFmtId="43" fontId="4" fillId="10" borderId="1" xfId="2" applyFont="1" applyFill="1" applyBorder="1" applyAlignment="1">
      <alignment horizontal="left" wrapText="1"/>
    </xf>
    <xf numFmtId="43" fontId="4" fillId="10" borderId="2" xfId="2" applyFont="1" applyFill="1" applyBorder="1" applyAlignment="1">
      <alignment horizontal="left" wrapText="1"/>
    </xf>
    <xf numFmtId="43" fontId="4" fillId="11" borderId="2" xfId="2" applyFont="1" applyFill="1" applyBorder="1" applyAlignment="1">
      <alignment horizontal="left" wrapText="1"/>
    </xf>
    <xf numFmtId="43" fontId="4" fillId="10" borderId="4" xfId="2" applyFont="1" applyFill="1" applyBorder="1" applyAlignment="1">
      <alignment horizontal="left" wrapText="1"/>
    </xf>
    <xf numFmtId="43" fontId="4" fillId="7" borderId="2" xfId="2" applyFont="1" applyFill="1" applyBorder="1" applyAlignment="1">
      <alignment horizontal="left" wrapText="1"/>
    </xf>
    <xf numFmtId="43" fontId="0" fillId="0" borderId="0" xfId="2" applyFont="1" applyAlignment="1">
      <alignment wrapText="1"/>
    </xf>
    <xf numFmtId="43" fontId="5" fillId="13" borderId="1" xfId="2" applyFont="1" applyFill="1" applyBorder="1" applyAlignment="1">
      <alignment horizontal="center" wrapText="1"/>
    </xf>
    <xf numFmtId="43" fontId="0" fillId="14" borderId="1" xfId="2" applyFont="1" applyFill="1" applyBorder="1" applyAlignment="1">
      <alignment horizontal="center" wrapText="1"/>
    </xf>
    <xf numFmtId="43" fontId="4" fillId="10" borderId="2" xfId="2" applyFont="1" applyFill="1" applyBorder="1" applyAlignment="1">
      <alignment horizontal="center" wrapText="1"/>
    </xf>
    <xf numFmtId="43" fontId="4" fillId="16" borderId="1" xfId="2" applyFont="1" applyFill="1" applyBorder="1" applyAlignment="1">
      <alignment horizontal="center" wrapText="1"/>
    </xf>
    <xf numFmtId="43" fontId="0" fillId="14" borderId="2" xfId="2" applyFont="1" applyFill="1" applyBorder="1" applyAlignment="1">
      <alignment wrapText="1"/>
    </xf>
    <xf numFmtId="43" fontId="0" fillId="6" borderId="2" xfId="2" applyFont="1" applyFill="1" applyBorder="1" applyAlignment="1">
      <alignment wrapText="1"/>
    </xf>
    <xf numFmtId="43" fontId="4" fillId="15" borderId="1" xfId="2" applyFont="1" applyFill="1" applyBorder="1" applyAlignment="1">
      <alignment horizontal="center" wrapText="1"/>
    </xf>
    <xf numFmtId="43" fontId="0" fillId="13" borderId="1" xfId="2" applyFont="1" applyFill="1" applyBorder="1" applyAlignment="1">
      <alignment horizontal="center" wrapText="1"/>
    </xf>
    <xf numFmtId="43" fontId="1" fillId="14" borderId="1" xfId="2" applyFont="1" applyFill="1" applyBorder="1" applyAlignment="1">
      <alignment horizontal="center" wrapText="1"/>
    </xf>
    <xf numFmtId="43" fontId="0" fillId="14" borderId="3" xfId="2" applyFont="1" applyFill="1" applyBorder="1"/>
    <xf numFmtId="43" fontId="0" fillId="6" borderId="3" xfId="2" applyFont="1" applyFill="1" applyBorder="1"/>
    <xf numFmtId="43" fontId="5" fillId="14" borderId="1" xfId="2" applyFont="1" applyFill="1" applyBorder="1" applyAlignment="1">
      <alignment horizontal="center" wrapText="1"/>
    </xf>
    <xf numFmtId="43" fontId="0" fillId="15" borderId="1" xfId="2" applyFont="1" applyFill="1" applyBorder="1" applyAlignment="1">
      <alignment horizontal="center" wrapText="1"/>
    </xf>
    <xf numFmtId="43" fontId="4" fillId="16" borderId="2" xfId="2" applyFont="1" applyFill="1" applyBorder="1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3">
    <cellStyle name="Comma" xfId="2" builtinId="3"/>
    <cellStyle name="Neutral" xfId="1" builtinId="28"/>
    <cellStyle name="Normal" xfId="0" builtinId="0"/>
  </cellStyles>
  <dxfs count="22"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numFmt numFmtId="164" formatCode="0;[Red]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7ABC57-9BDA-4CF0-8422-6E0651D77520}" name="Table3" displayName="Table3" ref="A2:V14" totalsRowShown="0" dataDxfId="21">
  <autoFilter ref="A2:V14" xr:uid="{317ABC57-9BDA-4CF0-8422-6E0651D77520}"/>
  <tableColumns count="22">
    <tableColumn id="1" xr3:uid="{24B2FD3C-BC14-41FC-8780-DD903546E578}" name="Month "/>
    <tableColumn id="2" xr3:uid="{083B5053-BF4C-493D-90DB-8F8B94EE4DFB}" name="Ophthalmology  " dataDxfId="20"/>
    <tableColumn id="3" xr3:uid="{30A2C052-0315-4107-BF97-B017B227AA14}" name="GI Surgery" dataDxfId="19"/>
    <tableColumn id="4" xr3:uid="{F193D167-C090-47C5-B5FD-9B6B1E9C6F6A}" name="Paediatric CVTS  " dataDxfId="18"/>
    <tableColumn id="5" xr3:uid="{3A05D3CF-66D5-44FA-A1F2-88BCF3C6F932}" name="Pediatric Neurosurgery  " dataDxfId="17"/>
    <tableColumn id="6" xr3:uid="{B7042D25-B9C9-4618-8222-0B016D05B721}" name="Breast Surgery  " dataDxfId="16"/>
    <tableColumn id="7" xr3:uid="{43F6C7B2-CBC2-4A66-BE50-932CB27F5E2F}" name="Pediatric Orthopaedics" dataDxfId="15"/>
    <tableColumn id="8" xr3:uid="{F79BB95B-29D9-4F0D-9EFB-B8D52AA2EEEF}" name="OBG" dataDxfId="14"/>
    <tableColumn id="9" xr3:uid="{E7593A42-6220-4F80-87D9-F562B7EC78A9}" name="Urology " dataDxfId="13"/>
    <tableColumn id="10" xr3:uid="{2624A5F9-174B-47CB-9234-6C53982D0ACE}" name="Adult CVTS" dataDxfId="12"/>
    <tableColumn id="11" xr3:uid="{0DA3AB77-6BA0-48AE-AAC0-19873FD8FEB7}" name="General Surgery" dataDxfId="11"/>
    <tableColumn id="12" xr3:uid="{F1D3A851-44F6-44D9-98E8-4782D3B721CE}" name="ENT" dataDxfId="10"/>
    <tableColumn id="13" xr3:uid="{3C783B98-03AD-4CD3-B65C-BFC57C40883B}" name="Neurosurgery  " dataDxfId="9"/>
    <tableColumn id="14" xr3:uid="{807C406D-E08B-461F-B252-923D1299173D}" name="Pediatric Surgery  " dataDxfId="8"/>
    <tableColumn id="15" xr3:uid="{47293F34-594A-4C87-AB43-39ADA616E80B}" name="Head &amp; Neck" dataDxfId="7"/>
    <tableColumn id="16" xr3:uid="{281D3E55-2499-4DC0-BE48-CC8DB22E4053}" name="Plastic Surgery" dataDxfId="6"/>
    <tableColumn id="17" xr3:uid="{F5A017CA-0E4F-4F3F-8C16-D86630499FAC}" name="Orthopaedics " dataDxfId="5"/>
    <tableColumn id="18" xr3:uid="{9CAD3080-0C7C-498E-8A13-63A2E6B34ABA}" name="HBP Surgery" dataDxfId="4"/>
    <tableColumn id="19" xr3:uid="{ADAF1B2D-7089-480F-9FD6-B53B25C44290}" name="Dental" dataDxfId="3"/>
    <tableColumn id="20" xr3:uid="{0428852C-7C62-4533-AF58-8B0A469E9EA5}" name="Cath Lab" dataDxfId="2"/>
    <tableColumn id="21" xr3:uid="{C9EFF57A-C708-49BC-AF7B-7F0F1B82F608}" name="Anaesthetist" dataDxfId="1"/>
    <tableColumn id="22" xr3:uid="{EEB3574A-47C7-4089-8615-D753AB8CF6E1}" name="Foetal Medic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B3" sqref="B3"/>
    </sheetView>
  </sheetViews>
  <sheetFormatPr defaultRowHeight="14.4" x14ac:dyDescent="0.3"/>
  <cols>
    <col min="1" max="1" width="11.33203125" customWidth="1"/>
    <col min="2" max="2" width="16.88671875" style="22" customWidth="1"/>
    <col min="3" max="3" width="11.5546875" style="22" customWidth="1"/>
    <col min="4" max="4" width="16.88671875" style="22" customWidth="1"/>
    <col min="5" max="5" width="23" style="22" customWidth="1"/>
    <col min="6" max="6" width="15.88671875" style="22" customWidth="1"/>
    <col min="7" max="7" width="21.88671875" style="22" customWidth="1"/>
    <col min="8" max="8" width="8.88671875" style="22"/>
    <col min="9" max="9" width="10" style="22" customWidth="1"/>
    <col min="10" max="10" width="12.21875" style="22" customWidth="1"/>
    <col min="11" max="11" width="16.21875" style="22" customWidth="1"/>
    <col min="12" max="12" width="8.88671875" style="22"/>
    <col min="13" max="13" width="15.21875" style="22" customWidth="1"/>
    <col min="14" max="14" width="18" style="22" customWidth="1"/>
    <col min="15" max="15" width="13.77734375" style="22" customWidth="1"/>
    <col min="16" max="16" width="15.109375" style="22" customWidth="1"/>
    <col min="17" max="17" width="14.5546875" style="22" customWidth="1"/>
    <col min="18" max="18" width="13.21875" style="22" customWidth="1"/>
    <col min="19" max="19" width="8.88671875" style="22"/>
    <col min="20" max="20" width="10.21875" style="22" customWidth="1"/>
    <col min="21" max="21" width="13.33203125" style="22" customWidth="1"/>
    <col min="22" max="22" width="16.21875" style="22" customWidth="1"/>
    <col min="23" max="23" width="8.88671875" style="22"/>
  </cols>
  <sheetData>
    <row r="1" spans="1:22" x14ac:dyDescent="0.3">
      <c r="B1" s="196" t="s">
        <v>37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</row>
    <row r="2" spans="1:22" ht="43.2" x14ac:dyDescent="0.3">
      <c r="A2" s="1" t="s">
        <v>0</v>
      </c>
      <c r="B2" s="8" t="s">
        <v>13</v>
      </c>
      <c r="C2" s="9" t="s">
        <v>14</v>
      </c>
      <c r="D2" s="10" t="s">
        <v>30</v>
      </c>
      <c r="E2" s="9" t="s">
        <v>15</v>
      </c>
      <c r="F2" s="10" t="s">
        <v>31</v>
      </c>
      <c r="G2" s="11" t="s">
        <v>16</v>
      </c>
      <c r="H2" s="12" t="s">
        <v>32</v>
      </c>
      <c r="I2" s="13" t="s">
        <v>17</v>
      </c>
      <c r="J2" s="9" t="s">
        <v>18</v>
      </c>
      <c r="K2" s="14" t="s">
        <v>33</v>
      </c>
      <c r="L2" s="13" t="s">
        <v>19</v>
      </c>
      <c r="M2" s="15" t="s">
        <v>20</v>
      </c>
      <c r="N2" s="16" t="s">
        <v>21</v>
      </c>
      <c r="O2" s="15" t="s">
        <v>22</v>
      </c>
      <c r="P2" s="17" t="s">
        <v>25</v>
      </c>
      <c r="Q2" s="17" t="s">
        <v>26</v>
      </c>
      <c r="R2" s="18" t="s">
        <v>27</v>
      </c>
      <c r="S2" s="19" t="s">
        <v>29</v>
      </c>
      <c r="T2" s="20" t="s">
        <v>35</v>
      </c>
      <c r="U2" s="21" t="s">
        <v>28</v>
      </c>
      <c r="V2" s="20" t="s">
        <v>34</v>
      </c>
    </row>
    <row r="3" spans="1:22" x14ac:dyDescent="0.3">
      <c r="A3" t="s">
        <v>1</v>
      </c>
      <c r="B3" s="23">
        <v>34</v>
      </c>
      <c r="C3" s="24">
        <v>27</v>
      </c>
      <c r="D3" s="25">
        <v>8</v>
      </c>
      <c r="E3" s="24">
        <v>10</v>
      </c>
      <c r="F3" s="26">
        <v>8</v>
      </c>
      <c r="G3" s="27">
        <v>4</v>
      </c>
      <c r="H3" s="28">
        <v>75</v>
      </c>
      <c r="I3" s="29">
        <v>38</v>
      </c>
      <c r="J3" s="24">
        <v>18</v>
      </c>
      <c r="K3" s="30">
        <v>29</v>
      </c>
      <c r="L3" s="29">
        <v>16</v>
      </c>
      <c r="M3" s="31">
        <v>18</v>
      </c>
      <c r="N3" s="32">
        <v>9</v>
      </c>
      <c r="O3" s="31">
        <v>12</v>
      </c>
      <c r="P3" s="26">
        <v>38</v>
      </c>
      <c r="Q3" s="26">
        <v>43</v>
      </c>
      <c r="R3" s="33">
        <v>8</v>
      </c>
      <c r="S3" s="34">
        <v>0</v>
      </c>
      <c r="T3" s="34">
        <v>0</v>
      </c>
      <c r="U3" s="34">
        <v>0</v>
      </c>
      <c r="V3" s="34">
        <v>0</v>
      </c>
    </row>
    <row r="4" spans="1:22" x14ac:dyDescent="0.3">
      <c r="A4" t="s">
        <v>2</v>
      </c>
      <c r="B4" s="23">
        <v>49</v>
      </c>
      <c r="C4" s="24">
        <v>26</v>
      </c>
      <c r="D4" s="27">
        <v>5</v>
      </c>
      <c r="E4" s="24">
        <v>8</v>
      </c>
      <c r="F4" s="35">
        <v>6</v>
      </c>
      <c r="G4" s="27">
        <v>8</v>
      </c>
      <c r="H4" s="28">
        <v>81</v>
      </c>
      <c r="I4" s="36">
        <v>38</v>
      </c>
      <c r="J4" s="24">
        <v>21</v>
      </c>
      <c r="K4" s="30">
        <v>47</v>
      </c>
      <c r="L4" s="29">
        <v>22</v>
      </c>
      <c r="M4" s="37">
        <v>19</v>
      </c>
      <c r="N4" s="32">
        <v>2</v>
      </c>
      <c r="O4" s="37">
        <v>17</v>
      </c>
      <c r="P4" s="26">
        <v>64</v>
      </c>
      <c r="Q4" s="38">
        <v>72</v>
      </c>
      <c r="R4" s="39">
        <v>12</v>
      </c>
      <c r="S4" s="39">
        <v>1</v>
      </c>
      <c r="T4" s="34">
        <v>0</v>
      </c>
      <c r="U4" s="40">
        <v>1</v>
      </c>
      <c r="V4" s="34">
        <v>0</v>
      </c>
    </row>
    <row r="5" spans="1:22" x14ac:dyDescent="0.3">
      <c r="A5" t="s">
        <v>3</v>
      </c>
      <c r="B5" s="23">
        <v>63</v>
      </c>
      <c r="C5" s="24">
        <v>36</v>
      </c>
      <c r="D5" s="27">
        <v>3</v>
      </c>
      <c r="E5" s="24">
        <v>2</v>
      </c>
      <c r="F5" s="35">
        <v>4</v>
      </c>
      <c r="G5" s="41">
        <v>11</v>
      </c>
      <c r="H5" s="28">
        <v>95</v>
      </c>
      <c r="I5" s="36">
        <v>41</v>
      </c>
      <c r="J5" s="24">
        <v>18</v>
      </c>
      <c r="K5" s="42">
        <v>69</v>
      </c>
      <c r="L5" s="43">
        <v>19</v>
      </c>
      <c r="M5" s="37">
        <v>19</v>
      </c>
      <c r="N5" s="44">
        <v>3</v>
      </c>
      <c r="O5" s="31">
        <v>10</v>
      </c>
      <c r="P5" s="26">
        <v>62</v>
      </c>
      <c r="Q5" s="38">
        <v>69</v>
      </c>
      <c r="R5" s="39">
        <v>16</v>
      </c>
      <c r="S5" s="22">
        <v>0</v>
      </c>
      <c r="T5" s="34">
        <v>0</v>
      </c>
      <c r="U5" s="22">
        <v>0</v>
      </c>
      <c r="V5" s="34">
        <v>0</v>
      </c>
    </row>
    <row r="6" spans="1:22" x14ac:dyDescent="0.3">
      <c r="A6" t="s">
        <v>4</v>
      </c>
      <c r="B6" s="23">
        <v>68</v>
      </c>
      <c r="C6" s="26">
        <v>46</v>
      </c>
      <c r="D6" s="27">
        <v>3</v>
      </c>
      <c r="E6" s="24">
        <v>7</v>
      </c>
      <c r="F6" s="26">
        <v>9</v>
      </c>
      <c r="G6" s="27">
        <v>15</v>
      </c>
      <c r="H6" s="28">
        <v>111</v>
      </c>
      <c r="I6" s="36">
        <v>65</v>
      </c>
      <c r="J6" s="24">
        <v>33</v>
      </c>
      <c r="K6" s="43">
        <v>83</v>
      </c>
      <c r="L6" s="45">
        <v>17</v>
      </c>
      <c r="M6" s="35">
        <v>26</v>
      </c>
      <c r="N6" s="27">
        <v>1</v>
      </c>
      <c r="O6" s="31">
        <v>20</v>
      </c>
      <c r="P6" s="26">
        <v>45</v>
      </c>
      <c r="Q6" s="38">
        <v>87</v>
      </c>
      <c r="R6" s="39">
        <v>15</v>
      </c>
      <c r="S6" s="22">
        <v>0</v>
      </c>
      <c r="T6" s="34">
        <v>0</v>
      </c>
      <c r="U6" s="22">
        <v>0</v>
      </c>
      <c r="V6" s="22">
        <v>1</v>
      </c>
    </row>
    <row r="7" spans="1:22" x14ac:dyDescent="0.3">
      <c r="A7" t="s">
        <v>5</v>
      </c>
      <c r="B7" s="23">
        <v>54</v>
      </c>
      <c r="C7" s="46">
        <v>26</v>
      </c>
      <c r="D7" s="47">
        <v>10</v>
      </c>
      <c r="E7" s="46">
        <v>8</v>
      </c>
      <c r="F7" s="46">
        <v>6</v>
      </c>
      <c r="G7" s="47">
        <v>13</v>
      </c>
      <c r="H7" s="48">
        <v>79</v>
      </c>
      <c r="I7" s="49">
        <v>42</v>
      </c>
      <c r="J7" s="46">
        <v>19</v>
      </c>
      <c r="K7" s="50">
        <v>68</v>
      </c>
      <c r="L7" s="50">
        <v>10</v>
      </c>
      <c r="M7" s="46">
        <v>20</v>
      </c>
      <c r="N7" s="47">
        <v>2</v>
      </c>
      <c r="O7" s="46">
        <v>8</v>
      </c>
      <c r="P7" s="46">
        <v>36</v>
      </c>
      <c r="Q7" s="46">
        <v>50</v>
      </c>
      <c r="R7" s="51">
        <v>11</v>
      </c>
      <c r="S7" s="22">
        <v>0</v>
      </c>
      <c r="T7" s="34">
        <v>0</v>
      </c>
      <c r="U7" s="22">
        <v>0</v>
      </c>
      <c r="V7" s="52">
        <v>0</v>
      </c>
    </row>
    <row r="8" spans="1:22" x14ac:dyDescent="0.3">
      <c r="A8" t="s">
        <v>6</v>
      </c>
      <c r="B8" s="23">
        <v>28</v>
      </c>
      <c r="C8" s="53">
        <v>32</v>
      </c>
      <c r="D8" s="54">
        <v>8</v>
      </c>
      <c r="E8" s="53">
        <v>5</v>
      </c>
      <c r="F8" s="53">
        <v>8</v>
      </c>
      <c r="G8" s="54">
        <v>15</v>
      </c>
      <c r="H8" s="55">
        <v>82</v>
      </c>
      <c r="I8" s="55">
        <v>63</v>
      </c>
      <c r="J8" s="53">
        <v>30</v>
      </c>
      <c r="K8" s="55">
        <v>85</v>
      </c>
      <c r="L8" s="55">
        <v>24</v>
      </c>
      <c r="M8" s="53">
        <v>22</v>
      </c>
      <c r="N8" s="54">
        <v>5</v>
      </c>
      <c r="O8" s="53">
        <v>12</v>
      </c>
      <c r="P8" s="53">
        <v>52</v>
      </c>
      <c r="Q8" s="53">
        <v>75</v>
      </c>
      <c r="R8" s="56">
        <v>15</v>
      </c>
      <c r="S8" s="53">
        <v>2</v>
      </c>
      <c r="T8" s="34">
        <v>0</v>
      </c>
      <c r="U8" s="22">
        <v>0</v>
      </c>
      <c r="V8" s="52">
        <v>0</v>
      </c>
    </row>
    <row r="9" spans="1:22" x14ac:dyDescent="0.3">
      <c r="A9" t="s">
        <v>7</v>
      </c>
      <c r="B9" s="23">
        <v>23</v>
      </c>
      <c r="C9" s="57">
        <v>30</v>
      </c>
      <c r="D9" s="58">
        <v>30</v>
      </c>
      <c r="E9" s="57">
        <v>10</v>
      </c>
      <c r="F9" s="57">
        <v>8</v>
      </c>
      <c r="G9" s="58">
        <v>22</v>
      </c>
      <c r="H9" s="59">
        <v>51</v>
      </c>
      <c r="I9" s="59">
        <v>88</v>
      </c>
      <c r="J9" s="57">
        <v>23</v>
      </c>
      <c r="K9" s="57">
        <v>66</v>
      </c>
      <c r="L9" s="59">
        <v>26</v>
      </c>
      <c r="M9" s="57">
        <v>16</v>
      </c>
      <c r="N9" s="58">
        <v>8</v>
      </c>
      <c r="O9" s="57">
        <v>11</v>
      </c>
      <c r="P9" s="57">
        <v>35</v>
      </c>
      <c r="Q9" s="57">
        <v>71</v>
      </c>
      <c r="R9" s="60">
        <v>13</v>
      </c>
      <c r="S9" s="57">
        <v>3</v>
      </c>
      <c r="T9" s="61">
        <v>1</v>
      </c>
      <c r="U9" s="22">
        <v>0</v>
      </c>
      <c r="V9" s="52">
        <v>0</v>
      </c>
    </row>
    <row r="10" spans="1:22" x14ac:dyDescent="0.3">
      <c r="A10" t="s">
        <v>8</v>
      </c>
      <c r="B10" s="23">
        <v>20</v>
      </c>
      <c r="C10" s="57">
        <v>26</v>
      </c>
      <c r="D10" s="58">
        <v>13</v>
      </c>
      <c r="E10" s="57">
        <v>7</v>
      </c>
      <c r="F10" s="57">
        <v>2</v>
      </c>
      <c r="G10" s="58">
        <v>20</v>
      </c>
      <c r="H10" s="59">
        <v>46</v>
      </c>
      <c r="I10" s="59">
        <v>56</v>
      </c>
      <c r="J10" s="57">
        <v>28</v>
      </c>
      <c r="K10" s="57">
        <v>41</v>
      </c>
      <c r="L10" s="59">
        <v>15</v>
      </c>
      <c r="M10" s="57">
        <v>17</v>
      </c>
      <c r="N10" s="58">
        <v>11</v>
      </c>
      <c r="O10" s="57">
        <v>8</v>
      </c>
      <c r="P10" s="57">
        <v>34</v>
      </c>
      <c r="Q10" s="57">
        <v>57</v>
      </c>
      <c r="R10" s="60">
        <v>20</v>
      </c>
      <c r="S10" s="57">
        <v>2</v>
      </c>
      <c r="T10" s="62">
        <v>1</v>
      </c>
      <c r="U10" s="22">
        <v>0</v>
      </c>
      <c r="V10" s="52">
        <v>0</v>
      </c>
    </row>
    <row r="11" spans="1:22" x14ac:dyDescent="0.3">
      <c r="A11" t="s">
        <v>9</v>
      </c>
    </row>
    <row r="12" spans="1:22" x14ac:dyDescent="0.3">
      <c r="A12" t="s">
        <v>10</v>
      </c>
    </row>
    <row r="13" spans="1:22" x14ac:dyDescent="0.3">
      <c r="A13" t="s">
        <v>11</v>
      </c>
    </row>
    <row r="14" spans="1:22" x14ac:dyDescent="0.3">
      <c r="A14" t="s">
        <v>12</v>
      </c>
    </row>
  </sheetData>
  <mergeCells count="1">
    <mergeCell ref="B1:V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topLeftCell="C1" workbookViewId="0">
      <selection activeCell="B1" sqref="B1:V1048576"/>
    </sheetView>
  </sheetViews>
  <sheetFormatPr defaultRowHeight="14.4" x14ac:dyDescent="0.3"/>
  <cols>
    <col min="2" max="2" width="13.5546875" customWidth="1"/>
    <col min="3" max="3" width="8.88671875" style="76"/>
    <col min="4" max="4" width="12.109375" style="76" customWidth="1"/>
    <col min="5" max="5" width="14.21875" style="76" customWidth="1"/>
    <col min="6" max="6" width="8.88671875" style="76"/>
    <col min="7" max="7" width="12.5546875" style="76" customWidth="1"/>
    <col min="8" max="23" width="8.88671875" style="76"/>
  </cols>
  <sheetData>
    <row r="1" spans="1:22" ht="43.2" x14ac:dyDescent="0.3">
      <c r="A1" s="1" t="s">
        <v>23</v>
      </c>
      <c r="B1" s="2" t="s">
        <v>13</v>
      </c>
      <c r="C1" s="63" t="s">
        <v>14</v>
      </c>
      <c r="D1" s="64" t="s">
        <v>30</v>
      </c>
      <c r="E1" s="63" t="s">
        <v>15</v>
      </c>
      <c r="F1" s="64" t="s">
        <v>31</v>
      </c>
      <c r="G1" s="64" t="s">
        <v>16</v>
      </c>
      <c r="H1" s="65" t="s">
        <v>32</v>
      </c>
      <c r="I1" s="66" t="s">
        <v>17</v>
      </c>
      <c r="J1" s="63" t="s">
        <v>18</v>
      </c>
      <c r="K1" s="67" t="s">
        <v>33</v>
      </c>
      <c r="L1" s="68" t="s">
        <v>19</v>
      </c>
      <c r="M1" s="69" t="s">
        <v>20</v>
      </c>
      <c r="N1" s="70" t="s">
        <v>21</v>
      </c>
      <c r="O1" s="69" t="s">
        <v>22</v>
      </c>
      <c r="P1" s="71" t="s">
        <v>25</v>
      </c>
      <c r="Q1" s="72" t="s">
        <v>26</v>
      </c>
      <c r="R1" s="73" t="s">
        <v>27</v>
      </c>
      <c r="S1" s="73" t="s">
        <v>29</v>
      </c>
      <c r="T1" s="74" t="s">
        <v>35</v>
      </c>
      <c r="U1" s="75" t="s">
        <v>28</v>
      </c>
      <c r="V1" s="74" t="s">
        <v>34</v>
      </c>
    </row>
    <row r="2" spans="1:22" x14ac:dyDescent="0.3">
      <c r="A2" t="s">
        <v>1</v>
      </c>
      <c r="B2" s="3" t="s">
        <v>24</v>
      </c>
      <c r="C2" s="77">
        <f>27/27*100</f>
        <v>100</v>
      </c>
      <c r="D2" s="78">
        <f>7/8*100</f>
        <v>87.5</v>
      </c>
      <c r="E2" s="77">
        <f>10/10*100</f>
        <v>100</v>
      </c>
      <c r="F2" s="78">
        <f>7/8*100</f>
        <v>87.5</v>
      </c>
      <c r="G2" s="79">
        <f>4/4*100</f>
        <v>100</v>
      </c>
      <c r="H2" s="80">
        <f>74/75*100</f>
        <v>98.666666666666671</v>
      </c>
      <c r="I2" s="81">
        <f>38/38*100</f>
        <v>100</v>
      </c>
      <c r="J2" s="77">
        <f>18/18*100</f>
        <v>100</v>
      </c>
      <c r="K2" s="82">
        <f>17/29*100</f>
        <v>58.620689655172406</v>
      </c>
      <c r="L2" s="81">
        <f>16/16*100</f>
        <v>100</v>
      </c>
      <c r="M2" s="83">
        <f>18/18*100</f>
        <v>100</v>
      </c>
      <c r="N2" s="84">
        <f>9/9*100</f>
        <v>100</v>
      </c>
      <c r="O2" s="83">
        <f>12/12*100</f>
        <v>100</v>
      </c>
      <c r="P2" s="85">
        <f>37/38*100</f>
        <v>97.368421052631575</v>
      </c>
      <c r="Q2" s="85">
        <f>41/43*100</f>
        <v>95.348837209302332</v>
      </c>
      <c r="R2" s="86">
        <f>7/8*100</f>
        <v>87.5</v>
      </c>
      <c r="S2" s="76" t="s">
        <v>36</v>
      </c>
      <c r="T2" s="76" t="s">
        <v>36</v>
      </c>
      <c r="U2" s="76" t="s">
        <v>36</v>
      </c>
      <c r="V2" s="76" t="s">
        <v>36</v>
      </c>
    </row>
    <row r="3" spans="1:22" x14ac:dyDescent="0.3">
      <c r="A3" t="s">
        <v>2</v>
      </c>
      <c r="B3" s="3" t="s">
        <v>24</v>
      </c>
      <c r="C3" s="77">
        <f>26/26*100</f>
        <v>100</v>
      </c>
      <c r="D3" s="79">
        <f>5/5*100</f>
        <v>100</v>
      </c>
      <c r="E3" s="77">
        <f>8/8*100</f>
        <v>100</v>
      </c>
      <c r="F3" s="79">
        <f>6/6*100</f>
        <v>100</v>
      </c>
      <c r="G3" s="79">
        <f>8/8*100</f>
        <v>100</v>
      </c>
      <c r="H3" s="80">
        <f>79/81*100</f>
        <v>97.53086419753086</v>
      </c>
      <c r="I3" s="87">
        <f>36/38*100</f>
        <v>94.73684210526315</v>
      </c>
      <c r="J3" s="77">
        <f>21/21*100</f>
        <v>100</v>
      </c>
      <c r="K3" s="82">
        <f>29/47*100</f>
        <v>61.702127659574465</v>
      </c>
      <c r="L3" s="81">
        <f>22/22*100</f>
        <v>100</v>
      </c>
      <c r="M3" s="88">
        <f>18/19*100</f>
        <v>94.73684210526315</v>
      </c>
      <c r="N3" s="84">
        <f>2/2*100</f>
        <v>100</v>
      </c>
      <c r="O3" s="88">
        <f>15/17*100</f>
        <v>88.235294117647058</v>
      </c>
      <c r="P3" s="85">
        <f>62/64*100</f>
        <v>96.875</v>
      </c>
      <c r="Q3" s="89">
        <f>53/72*100</f>
        <v>73.611111111111114</v>
      </c>
      <c r="R3" s="90">
        <f>7/12*100</f>
        <v>58.333333333333336</v>
      </c>
      <c r="S3" s="91">
        <f>0/1*100</f>
        <v>0</v>
      </c>
      <c r="T3" s="76" t="s">
        <v>36</v>
      </c>
      <c r="U3" s="92">
        <f>1/1*100</f>
        <v>100</v>
      </c>
      <c r="V3" s="76" t="s">
        <v>36</v>
      </c>
    </row>
    <row r="4" spans="1:22" x14ac:dyDescent="0.3">
      <c r="A4" t="s">
        <v>3</v>
      </c>
      <c r="B4" s="3" t="s">
        <v>24</v>
      </c>
      <c r="C4" s="77">
        <f>34/34*100</f>
        <v>100</v>
      </c>
      <c r="D4" s="79">
        <f>3/3*100</f>
        <v>100</v>
      </c>
      <c r="E4" s="77">
        <f>2/2*100</f>
        <v>100</v>
      </c>
      <c r="F4" s="79">
        <f>4/4*100</f>
        <v>100</v>
      </c>
      <c r="G4" s="93">
        <f>11/11*100</f>
        <v>100</v>
      </c>
      <c r="H4" s="80">
        <f>95/95*100</f>
        <v>100</v>
      </c>
      <c r="I4" s="87">
        <f>41/41*100</f>
        <v>100</v>
      </c>
      <c r="J4" s="77">
        <f>18/18*100</f>
        <v>100</v>
      </c>
      <c r="K4" s="94">
        <f>69/69*100</f>
        <v>100</v>
      </c>
      <c r="L4" s="95">
        <f>18/19*100</f>
        <v>94.73684210526315</v>
      </c>
      <c r="M4" s="88">
        <f>18/19*100</f>
        <v>94.73684210526315</v>
      </c>
      <c r="N4" s="96">
        <f>2/3*100</f>
        <v>66.666666666666657</v>
      </c>
      <c r="O4" s="83">
        <f>10/10*100</f>
        <v>100</v>
      </c>
      <c r="P4" s="85">
        <f>61/62*100</f>
        <v>98.387096774193552</v>
      </c>
      <c r="Q4" s="89">
        <f>37/69*100</f>
        <v>53.623188405797109</v>
      </c>
      <c r="R4" s="90">
        <f>12/16*100</f>
        <v>75</v>
      </c>
      <c r="S4" s="76" t="s">
        <v>36</v>
      </c>
      <c r="T4" s="76" t="s">
        <v>36</v>
      </c>
      <c r="U4" s="76" t="s">
        <v>36</v>
      </c>
      <c r="V4" s="76" t="s">
        <v>36</v>
      </c>
    </row>
    <row r="5" spans="1:22" ht="43.2" x14ac:dyDescent="0.3">
      <c r="A5" t="s">
        <v>4</v>
      </c>
      <c r="B5" s="4" t="s">
        <v>24</v>
      </c>
      <c r="C5" s="85">
        <f>46/46*100</f>
        <v>100</v>
      </c>
      <c r="D5" s="79">
        <f>3/3*100</f>
        <v>100</v>
      </c>
      <c r="E5" s="77">
        <f>7/7*100</f>
        <v>100</v>
      </c>
      <c r="F5" s="78">
        <f>9/9*100</f>
        <v>100</v>
      </c>
      <c r="G5" s="79">
        <f>15/15*100</f>
        <v>100</v>
      </c>
      <c r="H5" s="80">
        <f>110/111*100</f>
        <v>99.099099099099092</v>
      </c>
      <c r="I5" s="87">
        <f>65/65*100</f>
        <v>100</v>
      </c>
      <c r="J5" s="77">
        <f>33/33*100</f>
        <v>100</v>
      </c>
      <c r="K5" s="95">
        <f>83/83*100</f>
        <v>100</v>
      </c>
      <c r="L5" s="97">
        <f>17/17*100</f>
        <v>100</v>
      </c>
      <c r="M5" s="98">
        <f>26/26*100</f>
        <v>100</v>
      </c>
      <c r="N5" s="79">
        <f>1/1*100</f>
        <v>100</v>
      </c>
      <c r="O5" s="83">
        <f>20/20*100</f>
        <v>100</v>
      </c>
      <c r="P5" s="85">
        <f>45/45*100</f>
        <v>100</v>
      </c>
      <c r="Q5" s="89">
        <f>71/87*100</f>
        <v>81.609195402298852</v>
      </c>
      <c r="R5" s="90">
        <f>11/15*100</f>
        <v>73.333333333333329</v>
      </c>
      <c r="S5" s="76" t="s">
        <v>36</v>
      </c>
      <c r="T5" s="76" t="s">
        <v>36</v>
      </c>
      <c r="U5" s="76" t="s">
        <v>36</v>
      </c>
      <c r="V5" s="76" t="s">
        <v>24</v>
      </c>
    </row>
    <row r="6" spans="1:22" x14ac:dyDescent="0.3">
      <c r="A6" t="s">
        <v>5</v>
      </c>
      <c r="B6" s="4" t="s">
        <v>24</v>
      </c>
      <c r="C6" s="99">
        <f>26/26*100</f>
        <v>100</v>
      </c>
      <c r="D6" s="100">
        <f>9/10*100</f>
        <v>90</v>
      </c>
      <c r="E6" s="99">
        <f>8/8*100</f>
        <v>100</v>
      </c>
      <c r="F6" s="100">
        <f>6/6*100</f>
        <v>100</v>
      </c>
      <c r="G6" s="100">
        <f>13/13*100</f>
        <v>100</v>
      </c>
      <c r="H6" s="101">
        <f>79/79*100</f>
        <v>100</v>
      </c>
      <c r="I6" s="102">
        <f>42/42*100</f>
        <v>100</v>
      </c>
      <c r="J6" s="99">
        <f>18/19*100</f>
        <v>94.73684210526315</v>
      </c>
      <c r="K6" s="103">
        <f>68/68*100</f>
        <v>100</v>
      </c>
      <c r="L6" s="103">
        <f>10/10*100</f>
        <v>100</v>
      </c>
      <c r="M6" s="99">
        <f>20/20*100</f>
        <v>100</v>
      </c>
      <c r="N6" s="100">
        <f>2/2*100</f>
        <v>100</v>
      </c>
      <c r="O6" s="99">
        <f>8/8*100</f>
        <v>100</v>
      </c>
      <c r="P6" s="99">
        <f>36/36*100</f>
        <v>100</v>
      </c>
      <c r="Q6" s="99">
        <f>50/50*100</f>
        <v>100</v>
      </c>
      <c r="R6" s="104">
        <f>11/11*100</f>
        <v>100</v>
      </c>
      <c r="S6" s="76" t="s">
        <v>36</v>
      </c>
      <c r="T6" s="76" t="s">
        <v>36</v>
      </c>
      <c r="U6" s="76" t="s">
        <v>36</v>
      </c>
      <c r="V6" s="76" t="s">
        <v>36</v>
      </c>
    </row>
    <row r="7" spans="1:22" x14ac:dyDescent="0.3">
      <c r="A7" t="s">
        <v>6</v>
      </c>
      <c r="B7" s="4" t="s">
        <v>24</v>
      </c>
      <c r="C7" s="98">
        <f>32/32*100</f>
        <v>100</v>
      </c>
      <c r="D7" s="79">
        <f>8/8*100</f>
        <v>100</v>
      </c>
      <c r="E7" s="98">
        <f>5/5*100</f>
        <v>100</v>
      </c>
      <c r="F7" s="79">
        <f>8/8*100</f>
        <v>100</v>
      </c>
      <c r="G7" s="79">
        <f>25/25*100</f>
        <v>100</v>
      </c>
      <c r="H7" s="97">
        <f>82/82*100</f>
        <v>100</v>
      </c>
      <c r="I7" s="95">
        <f>62/63*100</f>
        <v>98.412698412698404</v>
      </c>
      <c r="J7" s="98">
        <f>30/30*100</f>
        <v>100</v>
      </c>
      <c r="K7" s="95">
        <f>84/85*100</f>
        <v>98.82352941176471</v>
      </c>
      <c r="L7" s="95">
        <f>22/24*100</f>
        <v>91.666666666666657</v>
      </c>
      <c r="M7" s="98">
        <f>22/22*100</f>
        <v>100</v>
      </c>
      <c r="N7" s="79">
        <f>5/5*100</f>
        <v>100</v>
      </c>
      <c r="O7" s="98">
        <f>12/12*100</f>
        <v>100</v>
      </c>
      <c r="P7" s="85">
        <f>51/52*100</f>
        <v>98.076923076923066</v>
      </c>
      <c r="Q7" s="85">
        <f>73/75*100</f>
        <v>97.333333333333343</v>
      </c>
      <c r="R7" s="105">
        <f>15/15*100</f>
        <v>100</v>
      </c>
      <c r="S7" s="97">
        <f>2/2*100</f>
        <v>100</v>
      </c>
      <c r="T7" s="76" t="s">
        <v>36</v>
      </c>
      <c r="U7" s="76" t="s">
        <v>36</v>
      </c>
      <c r="V7" s="76" t="s">
        <v>36</v>
      </c>
    </row>
    <row r="8" spans="1:22" ht="43.2" x14ac:dyDescent="0.3">
      <c r="A8" t="s">
        <v>7</v>
      </c>
      <c r="B8" s="4" t="s">
        <v>24</v>
      </c>
      <c r="C8" s="85">
        <f>29/30*100</f>
        <v>96.666666666666671</v>
      </c>
      <c r="D8" s="79">
        <f>30/30*100</f>
        <v>100</v>
      </c>
      <c r="E8" s="98">
        <f>10/10*100</f>
        <v>100</v>
      </c>
      <c r="F8" s="79">
        <f>8/8*100</f>
        <v>100</v>
      </c>
      <c r="G8" s="78">
        <f>21/22*100</f>
        <v>95.454545454545453</v>
      </c>
      <c r="H8" s="95">
        <f>47/51*100</f>
        <v>92.156862745098039</v>
      </c>
      <c r="I8" s="95">
        <f>86/88*100</f>
        <v>97.727272727272734</v>
      </c>
      <c r="J8" s="98">
        <f>23/23*100</f>
        <v>100</v>
      </c>
      <c r="K8" s="85">
        <f>64/66*100</f>
        <v>96.969696969696969</v>
      </c>
      <c r="L8" s="95">
        <f>25/26*100</f>
        <v>96.15384615384616</v>
      </c>
      <c r="M8" s="85">
        <f>15/16*100</f>
        <v>93.75</v>
      </c>
      <c r="N8" s="79">
        <f>8/8*100</f>
        <v>100</v>
      </c>
      <c r="O8" s="85">
        <f>9/11*100</f>
        <v>81.818181818181827</v>
      </c>
      <c r="P8" s="85">
        <f>28/35*100</f>
        <v>80</v>
      </c>
      <c r="Q8" s="85">
        <f>65/71*100</f>
        <v>91.549295774647888</v>
      </c>
      <c r="R8" s="90">
        <f>2/13*100</f>
        <v>15.384615384615385</v>
      </c>
      <c r="S8" s="97">
        <f>2/3*100</f>
        <v>66.666666666666657</v>
      </c>
      <c r="T8" s="76" t="s">
        <v>24</v>
      </c>
      <c r="U8" s="76" t="s">
        <v>36</v>
      </c>
      <c r="V8" s="76" t="s">
        <v>36</v>
      </c>
    </row>
    <row r="9" spans="1:22" x14ac:dyDescent="0.3">
      <c r="A9" t="s">
        <v>8</v>
      </c>
      <c r="B9" s="4" t="s">
        <v>24</v>
      </c>
      <c r="C9" s="85">
        <f>25/26*100</f>
        <v>96.15384615384616</v>
      </c>
      <c r="D9" s="79">
        <f>13/13*100</f>
        <v>100</v>
      </c>
      <c r="E9" s="98">
        <f>7/7*100</f>
        <v>100</v>
      </c>
      <c r="F9" s="79">
        <f>2/2*100</f>
        <v>100</v>
      </c>
      <c r="G9" s="84">
        <f>20/20*100</f>
        <v>100</v>
      </c>
      <c r="H9" s="106">
        <f>45/46*100</f>
        <v>97.826086956521735</v>
      </c>
      <c r="I9" s="106">
        <f>54/56*100</f>
        <v>96.428571428571431</v>
      </c>
      <c r="J9" s="85">
        <f>27/28*100</f>
        <v>96.428571428571431</v>
      </c>
      <c r="K9" s="85">
        <f>40/41*100</f>
        <v>97.560975609756099</v>
      </c>
      <c r="L9" s="106">
        <f>13/15*100</f>
        <v>86.666666666666671</v>
      </c>
      <c r="M9" s="85">
        <f>16/17*100</f>
        <v>94.117647058823522</v>
      </c>
      <c r="N9" s="78">
        <f>10/11*100</f>
        <v>90.909090909090907</v>
      </c>
      <c r="O9" s="89">
        <f>5/8*100</f>
        <v>62.5</v>
      </c>
      <c r="P9" s="85">
        <f>29/34*100</f>
        <v>85.294117647058826</v>
      </c>
      <c r="Q9" s="85">
        <f>54/57*100</f>
        <v>94.73684210526315</v>
      </c>
      <c r="R9" s="107">
        <f>13/20*100</f>
        <v>65</v>
      </c>
      <c r="S9" s="97">
        <f>2/2*100</f>
        <v>100</v>
      </c>
      <c r="T9" s="98">
        <f>1/1*100</f>
        <v>100</v>
      </c>
      <c r="U9" s="76" t="s">
        <v>36</v>
      </c>
      <c r="V9" s="76" t="s">
        <v>36</v>
      </c>
    </row>
    <row r="10" spans="1:22" x14ac:dyDescent="0.3">
      <c r="A10" t="s">
        <v>9</v>
      </c>
    </row>
    <row r="11" spans="1:22" x14ac:dyDescent="0.3">
      <c r="A11" t="s">
        <v>10</v>
      </c>
    </row>
    <row r="12" spans="1:22" x14ac:dyDescent="0.3">
      <c r="A12" t="s">
        <v>11</v>
      </c>
    </row>
    <row r="13" spans="1:22" x14ac:dyDescent="0.3">
      <c r="A1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>
      <selection activeCell="B1" sqref="B1:V1048576"/>
    </sheetView>
  </sheetViews>
  <sheetFormatPr defaultRowHeight="14.4" x14ac:dyDescent="0.3"/>
  <cols>
    <col min="2" max="22" width="8.88671875" style="133"/>
  </cols>
  <sheetData>
    <row r="1" spans="1:22" x14ac:dyDescent="0.3">
      <c r="A1" s="1" t="s">
        <v>23</v>
      </c>
      <c r="B1" s="108" t="s">
        <v>13</v>
      </c>
      <c r="C1" s="109" t="s">
        <v>14</v>
      </c>
      <c r="D1" s="110" t="s">
        <v>30</v>
      </c>
      <c r="E1" s="109" t="s">
        <v>15</v>
      </c>
      <c r="F1" s="110" t="s">
        <v>31</v>
      </c>
      <c r="G1" s="111" t="s">
        <v>16</v>
      </c>
      <c r="H1" s="112" t="s">
        <v>32</v>
      </c>
      <c r="I1" s="113" t="s">
        <v>17</v>
      </c>
      <c r="J1" s="109" t="s">
        <v>18</v>
      </c>
      <c r="K1" s="114" t="s">
        <v>33</v>
      </c>
      <c r="L1" s="113" t="s">
        <v>19</v>
      </c>
      <c r="M1" s="115" t="s">
        <v>20</v>
      </c>
      <c r="N1" s="116" t="s">
        <v>21</v>
      </c>
      <c r="O1" s="115" t="s">
        <v>22</v>
      </c>
      <c r="P1" s="117" t="s">
        <v>25</v>
      </c>
      <c r="Q1" s="117" t="s">
        <v>26</v>
      </c>
      <c r="R1" s="118" t="s">
        <v>27</v>
      </c>
      <c r="S1" s="119" t="s">
        <v>29</v>
      </c>
      <c r="T1" s="120" t="s">
        <v>35</v>
      </c>
      <c r="U1" s="121" t="s">
        <v>28</v>
      </c>
      <c r="V1" s="120" t="s">
        <v>34</v>
      </c>
    </row>
    <row r="2" spans="1:22" x14ac:dyDescent="0.3">
      <c r="A2" t="s">
        <v>1</v>
      </c>
      <c r="B2" s="122" t="s">
        <v>36</v>
      </c>
      <c r="C2" s="123">
        <f>27/27*100</f>
        <v>100</v>
      </c>
      <c r="D2" s="124">
        <f>7/8*100</f>
        <v>87.5</v>
      </c>
      <c r="E2" s="123">
        <f>10/10*100</f>
        <v>100</v>
      </c>
      <c r="F2" s="124">
        <f>7/8*100</f>
        <v>87.5</v>
      </c>
      <c r="G2" s="125">
        <f>4/4*100</f>
        <v>100</v>
      </c>
      <c r="H2" s="126">
        <f>74/75*100</f>
        <v>98.666666666666671</v>
      </c>
      <c r="I2" s="127">
        <f>38/38*100</f>
        <v>100</v>
      </c>
      <c r="J2" s="123">
        <f>18/18*100</f>
        <v>100</v>
      </c>
      <c r="K2" s="128">
        <f>17/29*100</f>
        <v>58.620689655172406</v>
      </c>
      <c r="L2" s="127">
        <f>16/16*100</f>
        <v>100</v>
      </c>
      <c r="M2" s="129">
        <f>18/18*100</f>
        <v>100</v>
      </c>
      <c r="N2" s="130">
        <f>9/9*100</f>
        <v>100</v>
      </c>
      <c r="O2" s="129">
        <f>12/12*100</f>
        <v>100</v>
      </c>
      <c r="P2" s="131">
        <f>37/38*100</f>
        <v>97.368421052631575</v>
      </c>
      <c r="Q2" s="131">
        <f>41/43*100</f>
        <v>95.348837209302332</v>
      </c>
      <c r="R2" s="132">
        <f>7/8*100</f>
        <v>87.5</v>
      </c>
      <c r="S2" s="133" t="s">
        <v>36</v>
      </c>
      <c r="T2" s="133" t="s">
        <v>36</v>
      </c>
      <c r="U2" s="133" t="s">
        <v>36</v>
      </c>
      <c r="V2" s="133" t="s">
        <v>36</v>
      </c>
    </row>
    <row r="3" spans="1:22" x14ac:dyDescent="0.3">
      <c r="A3" t="s">
        <v>2</v>
      </c>
      <c r="B3" s="122" t="s">
        <v>36</v>
      </c>
      <c r="C3" s="123">
        <f>26/26*100</f>
        <v>100</v>
      </c>
      <c r="D3" s="125">
        <f>5/5*100</f>
        <v>100</v>
      </c>
      <c r="E3" s="123">
        <f>8/8*100</f>
        <v>100</v>
      </c>
      <c r="F3" s="125">
        <f>6/6*100</f>
        <v>100</v>
      </c>
      <c r="G3" s="125">
        <f>8/8*100</f>
        <v>100</v>
      </c>
      <c r="H3" s="126">
        <f>79/81*100</f>
        <v>97.53086419753086</v>
      </c>
      <c r="I3" s="134">
        <f>36/38*100</f>
        <v>94.73684210526315</v>
      </c>
      <c r="J3" s="123">
        <f>21/21*100</f>
        <v>100</v>
      </c>
      <c r="K3" s="128">
        <f>29/47*100</f>
        <v>61.702127659574465</v>
      </c>
      <c r="L3" s="127">
        <f>22/22*100</f>
        <v>100</v>
      </c>
      <c r="M3" s="135">
        <f>18/19*100</f>
        <v>94.73684210526315</v>
      </c>
      <c r="N3" s="130">
        <f>2/2*100</f>
        <v>100</v>
      </c>
      <c r="O3" s="135">
        <f>15/17*100</f>
        <v>88.235294117647058</v>
      </c>
      <c r="P3" s="131">
        <f>62/64*100</f>
        <v>96.875</v>
      </c>
      <c r="Q3" s="136">
        <f>53/72*100</f>
        <v>73.611111111111114</v>
      </c>
      <c r="R3" s="137">
        <f>7/12*100</f>
        <v>58.333333333333336</v>
      </c>
      <c r="S3" s="138">
        <f>0/1*100</f>
        <v>0</v>
      </c>
      <c r="T3" s="133" t="s">
        <v>36</v>
      </c>
      <c r="U3" s="139">
        <f>1/1*100</f>
        <v>100</v>
      </c>
      <c r="V3" s="133" t="s">
        <v>36</v>
      </c>
    </row>
    <row r="4" spans="1:22" x14ac:dyDescent="0.3">
      <c r="A4" t="s">
        <v>3</v>
      </c>
      <c r="B4" s="122" t="s">
        <v>36</v>
      </c>
      <c r="C4" s="123">
        <f>34/34*100</f>
        <v>100</v>
      </c>
      <c r="D4" s="125">
        <f>3/3*100</f>
        <v>100</v>
      </c>
      <c r="E4" s="123">
        <f>2/2*100</f>
        <v>100</v>
      </c>
      <c r="F4" s="125">
        <f>4/4*100</f>
        <v>100</v>
      </c>
      <c r="G4" s="140">
        <f>11/11*100</f>
        <v>100</v>
      </c>
      <c r="H4" s="126">
        <f>95/95*100</f>
        <v>100</v>
      </c>
      <c r="I4" s="134">
        <f>41/41*100</f>
        <v>100</v>
      </c>
      <c r="J4" s="123">
        <f>18/18*100</f>
        <v>100</v>
      </c>
      <c r="K4" s="141">
        <f>69/69*100</f>
        <v>100</v>
      </c>
      <c r="L4" s="142">
        <f>18/19*100</f>
        <v>94.73684210526315</v>
      </c>
      <c r="M4" s="135">
        <f>18/19*100</f>
        <v>94.73684210526315</v>
      </c>
      <c r="N4" s="143">
        <f>2/3*100</f>
        <v>66.666666666666657</v>
      </c>
      <c r="O4" s="129">
        <f>10/10*100</f>
        <v>100</v>
      </c>
      <c r="P4" s="131">
        <f>61/62*100</f>
        <v>98.387096774193552</v>
      </c>
      <c r="Q4" s="136">
        <f>37/69*100</f>
        <v>53.623188405797109</v>
      </c>
      <c r="R4" s="137">
        <f>12/16*100</f>
        <v>75</v>
      </c>
      <c r="S4" s="133" t="s">
        <v>36</v>
      </c>
      <c r="T4" s="133" t="s">
        <v>36</v>
      </c>
      <c r="U4" s="133" t="s">
        <v>36</v>
      </c>
      <c r="V4" s="133" t="s">
        <v>36</v>
      </c>
    </row>
    <row r="5" spans="1:22" x14ac:dyDescent="0.3">
      <c r="A5" t="s">
        <v>4</v>
      </c>
      <c r="B5" s="122" t="s">
        <v>36</v>
      </c>
      <c r="C5" s="144">
        <f>46/46*100</f>
        <v>100</v>
      </c>
      <c r="D5" s="145">
        <f>3/3*100</f>
        <v>100</v>
      </c>
      <c r="E5" s="146">
        <f>7/7*100</f>
        <v>100</v>
      </c>
      <c r="F5" s="147">
        <f>9/9*100</f>
        <v>100</v>
      </c>
      <c r="G5" s="145">
        <f>15/15*100</f>
        <v>100</v>
      </c>
      <c r="H5" s="148">
        <f>110/111*100</f>
        <v>99.099099099099092</v>
      </c>
      <c r="I5" s="149">
        <f>65/65*100</f>
        <v>100</v>
      </c>
      <c r="J5" s="146">
        <f>33/33*100</f>
        <v>100</v>
      </c>
      <c r="K5" s="150">
        <f>83/83*100</f>
        <v>100</v>
      </c>
      <c r="L5" s="151">
        <f>17/17*100</f>
        <v>100</v>
      </c>
      <c r="M5" s="152">
        <f>26/26*100</f>
        <v>100</v>
      </c>
      <c r="N5" s="145">
        <f>1/1*100</f>
        <v>100</v>
      </c>
      <c r="O5" s="153">
        <f>20/20*100</f>
        <v>100</v>
      </c>
      <c r="P5" s="144">
        <f>45/45*100</f>
        <v>100</v>
      </c>
      <c r="Q5" s="154">
        <f>71/87*100</f>
        <v>81.609195402298852</v>
      </c>
      <c r="R5" s="155">
        <f>11/15*100</f>
        <v>73.333333333333329</v>
      </c>
      <c r="S5" s="133" t="s">
        <v>36</v>
      </c>
      <c r="T5" s="133" t="s">
        <v>36</v>
      </c>
      <c r="U5" s="133" t="s">
        <v>36</v>
      </c>
      <c r="V5" s="133" t="s">
        <v>36</v>
      </c>
    </row>
    <row r="6" spans="1:22" x14ac:dyDescent="0.3">
      <c r="A6" t="s">
        <v>5</v>
      </c>
      <c r="B6" s="122" t="s">
        <v>36</v>
      </c>
      <c r="C6" s="156">
        <f>26/26*100</f>
        <v>100</v>
      </c>
      <c r="D6" s="157">
        <f>9/10*100</f>
        <v>90</v>
      </c>
      <c r="E6" s="156">
        <f>8/8*100</f>
        <v>100</v>
      </c>
      <c r="F6" s="157">
        <f>6/6*100</f>
        <v>100</v>
      </c>
      <c r="G6" s="157">
        <f>13/13*100</f>
        <v>100</v>
      </c>
      <c r="H6" s="158">
        <f>79/79*100</f>
        <v>100</v>
      </c>
      <c r="I6" s="159">
        <f>42/42*100</f>
        <v>100</v>
      </c>
      <c r="J6" s="156">
        <f>18/19*100</f>
        <v>94.73684210526315</v>
      </c>
      <c r="K6" s="160">
        <f>68/68*100</f>
        <v>100</v>
      </c>
      <c r="L6" s="160">
        <f>10/10*100</f>
        <v>100</v>
      </c>
      <c r="M6" s="156">
        <f>20/20*100</f>
        <v>100</v>
      </c>
      <c r="N6" s="157">
        <f>2/2*100</f>
        <v>100</v>
      </c>
      <c r="O6" s="156">
        <f>8/8*100</f>
        <v>100</v>
      </c>
      <c r="P6" s="156">
        <f>36/36*100</f>
        <v>100</v>
      </c>
      <c r="Q6" s="156">
        <f>50/50*100</f>
        <v>100</v>
      </c>
      <c r="R6" s="161">
        <f>11/11*100</f>
        <v>100</v>
      </c>
      <c r="S6" s="133" t="s">
        <v>36</v>
      </c>
      <c r="T6" s="133" t="s">
        <v>36</v>
      </c>
      <c r="U6" s="133" t="s">
        <v>36</v>
      </c>
      <c r="V6" s="133" t="s">
        <v>36</v>
      </c>
    </row>
    <row r="7" spans="1:22" x14ac:dyDescent="0.3">
      <c r="A7" t="s">
        <v>6</v>
      </c>
      <c r="B7" s="122" t="s">
        <v>36</v>
      </c>
      <c r="C7" s="152">
        <f>32/32*100</f>
        <v>100</v>
      </c>
      <c r="D7" s="145">
        <f>8/8*100</f>
        <v>100</v>
      </c>
      <c r="E7" s="152">
        <f>5/5*100</f>
        <v>100</v>
      </c>
      <c r="F7" s="145">
        <f>8/8*100</f>
        <v>100</v>
      </c>
      <c r="G7" s="145">
        <f>25/25*100</f>
        <v>100</v>
      </c>
      <c r="H7" s="151">
        <f>82/82*100</f>
        <v>100</v>
      </c>
      <c r="I7" s="150">
        <f>62/63*100</f>
        <v>98.412698412698404</v>
      </c>
      <c r="J7" s="152">
        <f>30/30*100</f>
        <v>100</v>
      </c>
      <c r="K7" s="150">
        <f>84/85*100</f>
        <v>98.82352941176471</v>
      </c>
      <c r="L7" s="150">
        <f>22/24*100</f>
        <v>91.666666666666657</v>
      </c>
      <c r="M7" s="152">
        <f>22/22*100</f>
        <v>100</v>
      </c>
      <c r="N7" s="145">
        <f>5/5*100</f>
        <v>100</v>
      </c>
      <c r="O7" s="152">
        <f>12/12*100</f>
        <v>100</v>
      </c>
      <c r="P7" s="144">
        <f>51/52*100</f>
        <v>98.076923076923066</v>
      </c>
      <c r="Q7" s="144">
        <f>73/75*100</f>
        <v>97.333333333333343</v>
      </c>
      <c r="R7" s="162">
        <f>15/15*100</f>
        <v>100</v>
      </c>
      <c r="S7" s="151">
        <f>2/2*100</f>
        <v>100</v>
      </c>
      <c r="T7" s="133" t="s">
        <v>36</v>
      </c>
      <c r="U7" s="133" t="s">
        <v>36</v>
      </c>
      <c r="V7" s="133" t="s">
        <v>36</v>
      </c>
    </row>
    <row r="8" spans="1:22" x14ac:dyDescent="0.3">
      <c r="A8" t="s">
        <v>7</v>
      </c>
      <c r="B8" s="122" t="s">
        <v>36</v>
      </c>
      <c r="C8" s="144">
        <f>29/30*100</f>
        <v>96.666666666666671</v>
      </c>
      <c r="D8" s="145">
        <f>30/30*100</f>
        <v>100</v>
      </c>
      <c r="E8" s="152">
        <f>10/10*100</f>
        <v>100</v>
      </c>
      <c r="F8" s="145">
        <f>8/8*100</f>
        <v>100</v>
      </c>
      <c r="G8" s="147">
        <f>21/22*100</f>
        <v>95.454545454545453</v>
      </c>
      <c r="H8" s="150">
        <f>47/51*100</f>
        <v>92.156862745098039</v>
      </c>
      <c r="I8" s="150">
        <f>86/88*100</f>
        <v>97.727272727272734</v>
      </c>
      <c r="J8" s="152">
        <f>23/23*100</f>
        <v>100</v>
      </c>
      <c r="K8" s="144">
        <f>64/66*100</f>
        <v>96.969696969696969</v>
      </c>
      <c r="L8" s="150">
        <f>25/26*100</f>
        <v>96.15384615384616</v>
      </c>
      <c r="M8" s="144">
        <f>15/16*100</f>
        <v>93.75</v>
      </c>
      <c r="N8" s="145">
        <f>8/8*100</f>
        <v>100</v>
      </c>
      <c r="O8" s="144">
        <f>9/11*100</f>
        <v>81.818181818181827</v>
      </c>
      <c r="P8" s="144">
        <f>28/35*100</f>
        <v>80</v>
      </c>
      <c r="Q8" s="144">
        <f>65/71*100</f>
        <v>91.549295774647888</v>
      </c>
      <c r="R8" s="155">
        <f>2/13*100</f>
        <v>15.384615384615385</v>
      </c>
      <c r="S8" s="151">
        <f>2/3*100</f>
        <v>66.666666666666657</v>
      </c>
      <c r="T8" s="133" t="s">
        <v>36</v>
      </c>
      <c r="U8" s="133" t="s">
        <v>36</v>
      </c>
      <c r="V8" s="133" t="s">
        <v>36</v>
      </c>
    </row>
    <row r="9" spans="1:22" x14ac:dyDescent="0.3">
      <c r="A9" t="s">
        <v>8</v>
      </c>
      <c r="B9" s="122" t="s">
        <v>36</v>
      </c>
      <c r="C9" s="144">
        <f>25/26*100</f>
        <v>96.15384615384616</v>
      </c>
      <c r="D9" s="145">
        <f>13/13*100</f>
        <v>100</v>
      </c>
      <c r="E9" s="152">
        <f>7/7*100</f>
        <v>100</v>
      </c>
      <c r="F9" s="145">
        <f>2/2*100</f>
        <v>100</v>
      </c>
      <c r="G9" s="163">
        <f>20/20*100</f>
        <v>100</v>
      </c>
      <c r="H9" s="164">
        <f>45/46*100</f>
        <v>97.826086956521735</v>
      </c>
      <c r="I9" s="164">
        <f>54/56*100</f>
        <v>96.428571428571431</v>
      </c>
      <c r="J9" s="144">
        <f>27/28*100</f>
        <v>96.428571428571431</v>
      </c>
      <c r="K9" s="144">
        <f>40/41*100</f>
        <v>97.560975609756099</v>
      </c>
      <c r="L9" s="164">
        <f>13/15*100</f>
        <v>86.666666666666671</v>
      </c>
      <c r="M9" s="144">
        <f>16/17*100</f>
        <v>94.117647058823522</v>
      </c>
      <c r="N9" s="147">
        <f>10/11*100</f>
        <v>90.909090909090907</v>
      </c>
      <c r="O9" s="154">
        <f>5/8*100</f>
        <v>62.5</v>
      </c>
      <c r="P9" s="144">
        <f>29/34*100</f>
        <v>85.294117647058826</v>
      </c>
      <c r="Q9" s="144">
        <f>54/57*100</f>
        <v>94.73684210526315</v>
      </c>
      <c r="R9" s="165">
        <f>13/20*100</f>
        <v>65</v>
      </c>
      <c r="S9" s="151">
        <f>2/2*100</f>
        <v>100</v>
      </c>
      <c r="T9" s="152">
        <f>1/1*100</f>
        <v>100</v>
      </c>
      <c r="U9" s="133" t="s">
        <v>36</v>
      </c>
      <c r="V9" s="133" t="s">
        <v>36</v>
      </c>
    </row>
    <row r="10" spans="1:22" x14ac:dyDescent="0.3">
      <c r="A10" t="s">
        <v>9</v>
      </c>
    </row>
    <row r="11" spans="1:22" x14ac:dyDescent="0.3">
      <c r="A11" t="s">
        <v>10</v>
      </c>
    </row>
    <row r="12" spans="1:22" x14ac:dyDescent="0.3">
      <c r="A12" t="s">
        <v>11</v>
      </c>
    </row>
    <row r="13" spans="1:22" x14ac:dyDescent="0.3">
      <c r="A13" t="s">
        <v>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selection activeCell="B1" sqref="B1:W1048576"/>
    </sheetView>
  </sheetViews>
  <sheetFormatPr defaultRowHeight="14.4" x14ac:dyDescent="0.3"/>
  <cols>
    <col min="2" max="23" width="8.88671875" style="133"/>
  </cols>
  <sheetData>
    <row r="1" spans="1:22" x14ac:dyDescent="0.3">
      <c r="A1" s="1" t="s">
        <v>23</v>
      </c>
      <c r="B1" s="108" t="s">
        <v>13</v>
      </c>
      <c r="C1" s="109" t="s">
        <v>14</v>
      </c>
      <c r="D1" s="110" t="s">
        <v>30</v>
      </c>
      <c r="E1" s="109" t="s">
        <v>15</v>
      </c>
      <c r="F1" s="110" t="s">
        <v>31</v>
      </c>
      <c r="G1" s="111" t="s">
        <v>16</v>
      </c>
      <c r="H1" s="112" t="s">
        <v>32</v>
      </c>
      <c r="I1" s="113" t="s">
        <v>17</v>
      </c>
      <c r="J1" s="109" t="s">
        <v>18</v>
      </c>
      <c r="K1" s="114" t="s">
        <v>33</v>
      </c>
      <c r="L1" s="113" t="s">
        <v>19</v>
      </c>
      <c r="M1" s="115" t="s">
        <v>20</v>
      </c>
      <c r="N1" s="116" t="s">
        <v>21</v>
      </c>
      <c r="O1" s="115" t="s">
        <v>22</v>
      </c>
      <c r="P1" s="117" t="s">
        <v>25</v>
      </c>
      <c r="Q1" s="117" t="s">
        <v>26</v>
      </c>
      <c r="R1" s="118" t="s">
        <v>27</v>
      </c>
      <c r="S1" s="119" t="s">
        <v>29</v>
      </c>
      <c r="T1" s="120" t="s">
        <v>35</v>
      </c>
      <c r="U1" s="121" t="s">
        <v>28</v>
      </c>
      <c r="V1" s="120" t="s">
        <v>34</v>
      </c>
    </row>
    <row r="2" spans="1:22" x14ac:dyDescent="0.3">
      <c r="A2" t="s">
        <v>1</v>
      </c>
      <c r="B2" s="122" t="s">
        <v>36</v>
      </c>
      <c r="C2" s="123">
        <f>25/27*100</f>
        <v>92.592592592592595</v>
      </c>
      <c r="D2" s="124">
        <f>7/8*100</f>
        <v>87.5</v>
      </c>
      <c r="E2" s="123">
        <f>8/10*100</f>
        <v>80</v>
      </c>
      <c r="F2" s="124">
        <f>5/8*100</f>
        <v>62.5</v>
      </c>
      <c r="G2" s="125">
        <f>4/4*100</f>
        <v>100</v>
      </c>
      <c r="H2" s="126">
        <f>57/75*100</f>
        <v>76</v>
      </c>
      <c r="I2" s="127">
        <f>27/38*100</f>
        <v>71.05263157894737</v>
      </c>
      <c r="J2" s="123">
        <f>17/18*100</f>
        <v>94.444444444444443</v>
      </c>
      <c r="K2" s="128">
        <f>18/29*100</f>
        <v>62.068965517241381</v>
      </c>
      <c r="L2" s="127">
        <f>16/16*100</f>
        <v>100</v>
      </c>
      <c r="M2" s="129">
        <f>13/18*100</f>
        <v>72.222222222222214</v>
      </c>
      <c r="N2" s="130">
        <f>9/9*100</f>
        <v>100</v>
      </c>
      <c r="O2" s="129">
        <f>9/12*100</f>
        <v>75</v>
      </c>
      <c r="P2" s="131">
        <f>35/38*100</f>
        <v>92.10526315789474</v>
      </c>
      <c r="Q2" s="131">
        <f>24/43*100</f>
        <v>55.813953488372093</v>
      </c>
      <c r="R2" s="132">
        <f>4/8*100</f>
        <v>50</v>
      </c>
      <c r="S2" s="133" t="s">
        <v>36</v>
      </c>
      <c r="T2" s="133" t="s">
        <v>36</v>
      </c>
      <c r="U2" s="133" t="s">
        <v>36</v>
      </c>
      <c r="V2" s="133" t="s">
        <v>36</v>
      </c>
    </row>
    <row r="3" spans="1:22" x14ac:dyDescent="0.3">
      <c r="A3" t="s">
        <v>2</v>
      </c>
      <c r="B3" s="122" t="s">
        <v>36</v>
      </c>
      <c r="C3" s="123">
        <f>25/26*100</f>
        <v>96.15384615384616</v>
      </c>
      <c r="D3" s="125">
        <f>5/5*100</f>
        <v>100</v>
      </c>
      <c r="E3" s="123">
        <f>8/8*100</f>
        <v>100</v>
      </c>
      <c r="F3" s="125">
        <f>6/6*100</f>
        <v>100</v>
      </c>
      <c r="G3" s="125">
        <f>8/8*100</f>
        <v>100</v>
      </c>
      <c r="H3" s="126">
        <f>79/81*100</f>
        <v>97.53086419753086</v>
      </c>
      <c r="I3" s="134">
        <f>36/38*100</f>
        <v>94.73684210526315</v>
      </c>
      <c r="J3" s="123">
        <f>21/21*100</f>
        <v>100</v>
      </c>
      <c r="K3" s="128">
        <f>44/47*100</f>
        <v>93.61702127659575</v>
      </c>
      <c r="L3" s="127">
        <f>22/22*100</f>
        <v>100</v>
      </c>
      <c r="M3" s="135">
        <f>18/19*100</f>
        <v>94.73684210526315</v>
      </c>
      <c r="N3" s="130">
        <f>2/2*100</f>
        <v>100</v>
      </c>
      <c r="O3" s="135">
        <f>17/17*100</f>
        <v>100</v>
      </c>
      <c r="P3" s="131">
        <f>61/64*100</f>
        <v>95.3125</v>
      </c>
      <c r="Q3" s="136">
        <f>70/72*100</f>
        <v>97.222222222222214</v>
      </c>
      <c r="R3" s="137">
        <f>11/12*100</f>
        <v>91.666666666666657</v>
      </c>
      <c r="S3" s="138">
        <f>1/1*100</f>
        <v>100</v>
      </c>
      <c r="T3" s="133" t="s">
        <v>36</v>
      </c>
      <c r="U3" s="139">
        <f>1/1*100</f>
        <v>100</v>
      </c>
      <c r="V3" s="133" t="s">
        <v>36</v>
      </c>
    </row>
    <row r="4" spans="1:22" x14ac:dyDescent="0.3">
      <c r="A4" t="s">
        <v>3</v>
      </c>
      <c r="B4" s="122" t="s">
        <v>36</v>
      </c>
      <c r="C4" s="123">
        <f>34/34*100</f>
        <v>100</v>
      </c>
      <c r="D4" s="125">
        <f>3/3*100</f>
        <v>100</v>
      </c>
      <c r="E4" s="123">
        <f>2/2*100</f>
        <v>100</v>
      </c>
      <c r="F4" s="125">
        <f>4/4*100</f>
        <v>100</v>
      </c>
      <c r="G4" s="140">
        <f>10/11*100</f>
        <v>90.909090909090907</v>
      </c>
      <c r="H4" s="126">
        <f>92/95*100</f>
        <v>96.84210526315789</v>
      </c>
      <c r="I4" s="134">
        <f>40/41*100</f>
        <v>97.560975609756099</v>
      </c>
      <c r="J4" s="123">
        <f>18/18*100</f>
        <v>100</v>
      </c>
      <c r="K4" s="141">
        <f>69/69*100</f>
        <v>100</v>
      </c>
      <c r="L4" s="142">
        <f>18/19*100</f>
        <v>94.73684210526315</v>
      </c>
      <c r="M4" s="135">
        <f>19/19*100</f>
        <v>100</v>
      </c>
      <c r="N4" s="143">
        <f>3/3*100</f>
        <v>100</v>
      </c>
      <c r="O4" s="129">
        <f>10/10*100</f>
        <v>100</v>
      </c>
      <c r="P4" s="131">
        <f>62/62*100</f>
        <v>100</v>
      </c>
      <c r="Q4" s="136">
        <f>69/69*100</f>
        <v>100</v>
      </c>
      <c r="R4" s="137">
        <f>16/16*100</f>
        <v>100</v>
      </c>
      <c r="S4" s="133" t="s">
        <v>36</v>
      </c>
      <c r="T4" s="133" t="s">
        <v>36</v>
      </c>
      <c r="U4" s="133" t="s">
        <v>36</v>
      </c>
      <c r="V4" s="133" t="s">
        <v>36</v>
      </c>
    </row>
    <row r="5" spans="1:22" x14ac:dyDescent="0.3">
      <c r="A5" t="s">
        <v>4</v>
      </c>
      <c r="B5" s="122" t="s">
        <v>36</v>
      </c>
      <c r="C5" s="144">
        <f>44/46*100</f>
        <v>95.652173913043484</v>
      </c>
      <c r="D5" s="145">
        <f>3/3*100</f>
        <v>100</v>
      </c>
      <c r="E5" s="146">
        <f>7/7*100</f>
        <v>100</v>
      </c>
      <c r="F5" s="147">
        <f>8/9*100</f>
        <v>88.888888888888886</v>
      </c>
      <c r="G5" s="145">
        <f>15/15*100</f>
        <v>100</v>
      </c>
      <c r="H5" s="148">
        <f>109/111*100</f>
        <v>98.198198198198199</v>
      </c>
      <c r="I5" s="149">
        <f>62/65*100</f>
        <v>95.384615384615387</v>
      </c>
      <c r="J5" s="146">
        <f>33/33*100</f>
        <v>100</v>
      </c>
      <c r="K5" s="150">
        <f>82/83*100</f>
        <v>98.795180722891558</v>
      </c>
      <c r="L5" s="151">
        <f>17/17*100</f>
        <v>100</v>
      </c>
      <c r="M5" s="152">
        <f>26/26*100</f>
        <v>100</v>
      </c>
      <c r="N5" s="145">
        <f>1/1*100</f>
        <v>100</v>
      </c>
      <c r="O5" s="153">
        <f>20/20*100</f>
        <v>100</v>
      </c>
      <c r="P5" s="144">
        <f>44/45*100</f>
        <v>97.777777777777771</v>
      </c>
      <c r="Q5" s="154">
        <f>84/87*100</f>
        <v>96.551724137931032</v>
      </c>
      <c r="R5" s="155">
        <f>15/15*100</f>
        <v>100</v>
      </c>
      <c r="S5" s="133" t="s">
        <v>36</v>
      </c>
      <c r="T5" s="133" t="s">
        <v>36</v>
      </c>
      <c r="U5" s="133" t="s">
        <v>36</v>
      </c>
      <c r="V5" s="133" t="s">
        <v>36</v>
      </c>
    </row>
    <row r="6" spans="1:22" x14ac:dyDescent="0.3">
      <c r="A6" t="s">
        <v>5</v>
      </c>
      <c r="B6" s="122" t="s">
        <v>36</v>
      </c>
      <c r="C6" s="156">
        <f>26/26*100</f>
        <v>100</v>
      </c>
      <c r="D6" s="157">
        <f>10/10*100</f>
        <v>100</v>
      </c>
      <c r="E6" s="156">
        <f>8/8*100</f>
        <v>100</v>
      </c>
      <c r="F6" s="157">
        <f>6/6*100</f>
        <v>100</v>
      </c>
      <c r="G6" s="157">
        <f>13/13*100</f>
        <v>100</v>
      </c>
      <c r="H6" s="158">
        <f>79/79*100</f>
        <v>100</v>
      </c>
      <c r="I6" s="159">
        <f>42/42*100</f>
        <v>100</v>
      </c>
      <c r="J6" s="156">
        <f>18/19*100</f>
        <v>94.73684210526315</v>
      </c>
      <c r="K6" s="160">
        <f>68/68*100</f>
        <v>100</v>
      </c>
      <c r="L6" s="160">
        <f>10/10*100</f>
        <v>100</v>
      </c>
      <c r="M6" s="156">
        <f>20/20*100</f>
        <v>100</v>
      </c>
      <c r="N6" s="157">
        <f>2/2*100</f>
        <v>100</v>
      </c>
      <c r="O6" s="156">
        <f>8/8*100</f>
        <v>100</v>
      </c>
      <c r="P6" s="156">
        <f>36/36*100</f>
        <v>100</v>
      </c>
      <c r="Q6" s="156">
        <f>50/50*100</f>
        <v>100</v>
      </c>
      <c r="R6" s="161">
        <f>11/11*100</f>
        <v>100</v>
      </c>
      <c r="S6" s="133" t="s">
        <v>36</v>
      </c>
      <c r="T6" s="133" t="s">
        <v>36</v>
      </c>
      <c r="U6" s="133" t="s">
        <v>36</v>
      </c>
      <c r="V6" s="133" t="s">
        <v>36</v>
      </c>
    </row>
    <row r="7" spans="1:22" x14ac:dyDescent="0.3">
      <c r="A7" t="s">
        <v>6</v>
      </c>
      <c r="B7" s="122" t="s">
        <v>36</v>
      </c>
      <c r="C7" s="152">
        <f>32/32*100</f>
        <v>100</v>
      </c>
      <c r="D7" s="145">
        <f>8/8*100</f>
        <v>100</v>
      </c>
      <c r="E7" s="152">
        <f>5/5*100</f>
        <v>100</v>
      </c>
      <c r="F7" s="145">
        <f>8/8*100</f>
        <v>100</v>
      </c>
      <c r="G7" s="147">
        <f>14/15*100</f>
        <v>93.333333333333329</v>
      </c>
      <c r="H7" s="150">
        <f>78/82*100</f>
        <v>95.121951219512198</v>
      </c>
      <c r="I7" s="150">
        <f>61/63*100</f>
        <v>96.825396825396822</v>
      </c>
      <c r="J7" s="152">
        <f>30/30*100</f>
        <v>100</v>
      </c>
      <c r="K7" s="150">
        <f>81/85*100</f>
        <v>95.294117647058812</v>
      </c>
      <c r="L7" s="151">
        <f>24/24*100</f>
        <v>100</v>
      </c>
      <c r="M7" s="152">
        <f>22/22*100</f>
        <v>100</v>
      </c>
      <c r="N7" s="145">
        <f>5/5*100</f>
        <v>100</v>
      </c>
      <c r="O7" s="152">
        <f>12/12*100</f>
        <v>100</v>
      </c>
      <c r="P7" s="144">
        <f>51/52*100</f>
        <v>98.076923076923066</v>
      </c>
      <c r="Q7" s="144">
        <f>73/75*100</f>
        <v>97.333333333333343</v>
      </c>
      <c r="R7" s="162">
        <f>15/15*100</f>
        <v>100</v>
      </c>
      <c r="S7" s="151">
        <f>2/2*100</f>
        <v>100</v>
      </c>
      <c r="T7" s="133" t="s">
        <v>36</v>
      </c>
      <c r="U7" s="133" t="s">
        <v>36</v>
      </c>
      <c r="V7" s="133" t="s">
        <v>36</v>
      </c>
    </row>
    <row r="8" spans="1:22" x14ac:dyDescent="0.3">
      <c r="A8" t="s">
        <v>7</v>
      </c>
      <c r="B8" s="122" t="s">
        <v>36</v>
      </c>
      <c r="C8" s="144">
        <f>26/30*100</f>
        <v>86.666666666666671</v>
      </c>
      <c r="D8" s="147">
        <f>28/30*100</f>
        <v>93.333333333333329</v>
      </c>
      <c r="E8" s="152">
        <f>10/10*100</f>
        <v>100</v>
      </c>
      <c r="F8" s="145">
        <f>8/8*100</f>
        <v>100</v>
      </c>
      <c r="G8" s="147">
        <f>20/22*100</f>
        <v>90.909090909090907</v>
      </c>
      <c r="H8" s="150">
        <f>46/51*100</f>
        <v>90.196078431372555</v>
      </c>
      <c r="I8" s="150">
        <f>81/88*100</f>
        <v>92.045454545454547</v>
      </c>
      <c r="J8" s="144">
        <f>22/23*100</f>
        <v>95.652173913043484</v>
      </c>
      <c r="K8" s="144">
        <f>61/66*100</f>
        <v>92.424242424242422</v>
      </c>
      <c r="L8" s="150">
        <f>23/26*100</f>
        <v>88.461538461538453</v>
      </c>
      <c r="M8" s="144">
        <f>15/16*100</f>
        <v>93.75</v>
      </c>
      <c r="N8" s="166">
        <f>5/8*100</f>
        <v>62.5</v>
      </c>
      <c r="O8" s="144">
        <f>10/11*100</f>
        <v>90.909090909090907</v>
      </c>
      <c r="P8" s="144">
        <f>31/35*100</f>
        <v>88.571428571428569</v>
      </c>
      <c r="Q8" s="144">
        <f>66/71*100</f>
        <v>92.957746478873233</v>
      </c>
      <c r="R8" s="155">
        <f>8/13*100</f>
        <v>61.53846153846154</v>
      </c>
      <c r="S8" s="151">
        <f>3/3*100</f>
        <v>100</v>
      </c>
      <c r="T8" s="133" t="s">
        <v>36</v>
      </c>
      <c r="U8" s="133" t="s">
        <v>36</v>
      </c>
      <c r="V8" s="133" t="s">
        <v>36</v>
      </c>
    </row>
    <row r="9" spans="1:22" x14ac:dyDescent="0.3">
      <c r="A9" t="s">
        <v>8</v>
      </c>
      <c r="B9" s="122" t="s">
        <v>36</v>
      </c>
      <c r="C9" s="144">
        <f>26/26*100</f>
        <v>100</v>
      </c>
      <c r="D9" s="147">
        <f>12/13*100</f>
        <v>92.307692307692307</v>
      </c>
      <c r="E9" s="152">
        <f>7/7*100</f>
        <v>100</v>
      </c>
      <c r="F9" s="145">
        <f>2/2*100</f>
        <v>100</v>
      </c>
      <c r="G9" s="147">
        <f>18/20*100</f>
        <v>90</v>
      </c>
      <c r="H9" s="164">
        <f>40/46*100</f>
        <v>86.956521739130437</v>
      </c>
      <c r="I9" s="164">
        <f>52/56*100</f>
        <v>92.857142857142861</v>
      </c>
      <c r="J9" s="144">
        <f>25/28*100</f>
        <v>89.285714285714292</v>
      </c>
      <c r="K9" s="144">
        <f>39/41*100</f>
        <v>95.121951219512198</v>
      </c>
      <c r="L9" s="164">
        <f>14/15*100</f>
        <v>93.333333333333329</v>
      </c>
      <c r="M9" s="153">
        <f>17/17*100</f>
        <v>100</v>
      </c>
      <c r="N9" s="147">
        <f>9/11*100</f>
        <v>81.818181818181827</v>
      </c>
      <c r="O9" s="152">
        <f>8/8*100</f>
        <v>100</v>
      </c>
      <c r="P9" s="144">
        <f>31/34*100</f>
        <v>91.17647058823529</v>
      </c>
      <c r="Q9" s="144">
        <f>55/57*100</f>
        <v>96.491228070175438</v>
      </c>
      <c r="R9" s="167">
        <f>17/20*100</f>
        <v>85</v>
      </c>
      <c r="S9" s="151">
        <f>2/2*100</f>
        <v>100</v>
      </c>
      <c r="T9" s="152">
        <f>1/1*100</f>
        <v>100</v>
      </c>
      <c r="U9" s="133" t="s">
        <v>36</v>
      </c>
      <c r="V9" s="133" t="s">
        <v>36</v>
      </c>
    </row>
    <row r="10" spans="1:22" x14ac:dyDescent="0.3">
      <c r="A10" t="s">
        <v>9</v>
      </c>
    </row>
    <row r="11" spans="1:22" x14ac:dyDescent="0.3">
      <c r="A11" t="s">
        <v>10</v>
      </c>
    </row>
    <row r="12" spans="1:22" x14ac:dyDescent="0.3">
      <c r="A12" t="s">
        <v>11</v>
      </c>
    </row>
    <row r="13" spans="1:22" x14ac:dyDescent="0.3">
      <c r="A1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workbookViewId="0">
      <selection activeCell="L17" sqref="L17"/>
    </sheetView>
  </sheetViews>
  <sheetFormatPr defaultRowHeight="14.4" x14ac:dyDescent="0.3"/>
  <cols>
    <col min="2" max="22" width="8.88671875" style="133"/>
  </cols>
  <sheetData>
    <row r="1" spans="1:22" x14ac:dyDescent="0.3">
      <c r="A1" s="1" t="s">
        <v>23</v>
      </c>
      <c r="B1" s="108" t="s">
        <v>13</v>
      </c>
      <c r="C1" s="109" t="s">
        <v>14</v>
      </c>
      <c r="D1" s="110" t="s">
        <v>30</v>
      </c>
      <c r="E1" s="109" t="s">
        <v>15</v>
      </c>
      <c r="F1" s="110" t="s">
        <v>31</v>
      </c>
      <c r="G1" s="111" t="s">
        <v>16</v>
      </c>
      <c r="H1" s="112" t="s">
        <v>32</v>
      </c>
      <c r="I1" s="113" t="s">
        <v>17</v>
      </c>
      <c r="J1" s="109" t="s">
        <v>18</v>
      </c>
      <c r="K1" s="114" t="s">
        <v>33</v>
      </c>
      <c r="L1" s="113" t="s">
        <v>19</v>
      </c>
      <c r="M1" s="115" t="s">
        <v>20</v>
      </c>
      <c r="N1" s="116" t="s">
        <v>21</v>
      </c>
      <c r="O1" s="115" t="s">
        <v>22</v>
      </c>
      <c r="P1" s="117" t="s">
        <v>25</v>
      </c>
      <c r="Q1" s="117" t="s">
        <v>26</v>
      </c>
      <c r="R1" s="118" t="s">
        <v>27</v>
      </c>
      <c r="S1" s="119" t="s">
        <v>29</v>
      </c>
      <c r="T1" s="120" t="s">
        <v>35</v>
      </c>
      <c r="U1" s="121" t="s">
        <v>28</v>
      </c>
      <c r="V1" s="120" t="s">
        <v>34</v>
      </c>
    </row>
    <row r="2" spans="1:22" x14ac:dyDescent="0.3">
      <c r="A2" t="s">
        <v>1</v>
      </c>
      <c r="B2" s="122" t="s">
        <v>36</v>
      </c>
      <c r="C2" s="123">
        <f>25/27*100</f>
        <v>92.592592592592595</v>
      </c>
      <c r="D2" s="124">
        <f>7/8*100</f>
        <v>87.5</v>
      </c>
      <c r="E2" s="123">
        <f>8/10*100</f>
        <v>80</v>
      </c>
      <c r="F2" s="124">
        <f>5/8*100</f>
        <v>62.5</v>
      </c>
      <c r="G2" s="125">
        <f>4/4*100</f>
        <v>100</v>
      </c>
      <c r="H2" s="126">
        <f>57/75*100</f>
        <v>76</v>
      </c>
      <c r="I2" s="127">
        <f>27/38*100</f>
        <v>71.05263157894737</v>
      </c>
      <c r="J2" s="123">
        <f>17/18*100</f>
        <v>94.444444444444443</v>
      </c>
      <c r="K2" s="128">
        <f>18/29*100</f>
        <v>62.068965517241381</v>
      </c>
      <c r="L2" s="127">
        <f>16/16*100</f>
        <v>100</v>
      </c>
      <c r="M2" s="129">
        <f>13/18*100</f>
        <v>72.222222222222214</v>
      </c>
      <c r="N2" s="130">
        <f>9/9*100</f>
        <v>100</v>
      </c>
      <c r="O2" s="129">
        <f>9/12*100</f>
        <v>75</v>
      </c>
      <c r="P2" s="131">
        <f>35/38*100</f>
        <v>92.10526315789474</v>
      </c>
      <c r="Q2" s="131">
        <f>24/43*100</f>
        <v>55.813953488372093</v>
      </c>
      <c r="R2" s="132">
        <f>4/8*100</f>
        <v>50</v>
      </c>
      <c r="S2" s="133" t="s">
        <v>36</v>
      </c>
      <c r="T2" s="133" t="s">
        <v>36</v>
      </c>
      <c r="U2" s="133" t="s">
        <v>36</v>
      </c>
      <c r="V2" s="133" t="s">
        <v>36</v>
      </c>
    </row>
    <row r="3" spans="1:22" x14ac:dyDescent="0.3">
      <c r="A3" t="s">
        <v>2</v>
      </c>
      <c r="B3" s="122" t="s">
        <v>36</v>
      </c>
      <c r="C3" s="123">
        <f>20/26*100</f>
        <v>76.923076923076934</v>
      </c>
      <c r="D3" s="125">
        <f>5/5*100</f>
        <v>100</v>
      </c>
      <c r="E3" s="123">
        <f>6/8*100</f>
        <v>75</v>
      </c>
      <c r="F3" s="125">
        <f>6/6*100</f>
        <v>100</v>
      </c>
      <c r="G3" s="125">
        <f>5/8*100</f>
        <v>62.5</v>
      </c>
      <c r="H3" s="126">
        <f>36/81*100</f>
        <v>44.444444444444443</v>
      </c>
      <c r="I3" s="134">
        <f>30/38*100</f>
        <v>78.94736842105263</v>
      </c>
      <c r="J3" s="123">
        <f>18/21*100</f>
        <v>85.714285714285708</v>
      </c>
      <c r="K3" s="128">
        <f>38/47*100</f>
        <v>80.851063829787222</v>
      </c>
      <c r="L3" s="127">
        <f>18/22*100</f>
        <v>81.818181818181827</v>
      </c>
      <c r="M3" s="135">
        <f>11/19*100</f>
        <v>57.894736842105267</v>
      </c>
      <c r="N3" s="130">
        <f>2/2*100</f>
        <v>100</v>
      </c>
      <c r="O3" s="135">
        <f>9/17*100</f>
        <v>52.941176470588239</v>
      </c>
      <c r="P3" s="131">
        <f>54/64*100</f>
        <v>84.375</v>
      </c>
      <c r="Q3" s="136">
        <f>34/72*100</f>
        <v>47.222222222222221</v>
      </c>
      <c r="R3" s="137">
        <f>9/12*100</f>
        <v>75</v>
      </c>
      <c r="S3" s="191">
        <f>0/1*100</f>
        <v>0</v>
      </c>
      <c r="T3" s="133" t="s">
        <v>36</v>
      </c>
      <c r="U3" s="192">
        <f>1/1*100</f>
        <v>100</v>
      </c>
      <c r="V3" s="133" t="s">
        <v>36</v>
      </c>
    </row>
    <row r="4" spans="1:22" x14ac:dyDescent="0.3">
      <c r="A4" t="s">
        <v>3</v>
      </c>
      <c r="B4" s="122" t="s">
        <v>36</v>
      </c>
      <c r="C4" s="123">
        <f>30/36*100</f>
        <v>83.333333333333343</v>
      </c>
      <c r="D4" s="125">
        <f>2/3*100</f>
        <v>66.666666666666657</v>
      </c>
      <c r="E4" s="123">
        <f>1/2*100</f>
        <v>50</v>
      </c>
      <c r="F4" s="125">
        <f>3/4*100</f>
        <v>75</v>
      </c>
      <c r="G4" s="140">
        <f>6/11*100</f>
        <v>54.54545454545454</v>
      </c>
      <c r="H4" s="126">
        <f>68/95*100</f>
        <v>71.578947368421055</v>
      </c>
      <c r="I4" s="134">
        <f>37/41*100</f>
        <v>90.243902439024396</v>
      </c>
      <c r="J4" s="123">
        <f>18/18*100</f>
        <v>100</v>
      </c>
      <c r="K4" s="141">
        <f>58/69*100</f>
        <v>84.05797101449275</v>
      </c>
      <c r="L4" s="142">
        <f>17/18*100</f>
        <v>94.444444444444443</v>
      </c>
      <c r="M4" s="135">
        <f>13/19*100</f>
        <v>68.421052631578945</v>
      </c>
      <c r="N4" s="143">
        <f>2/3*100</f>
        <v>66.666666666666657</v>
      </c>
      <c r="O4" s="129">
        <f>8/10*100</f>
        <v>80</v>
      </c>
      <c r="P4" s="131">
        <f>54/62*100</f>
        <v>87.096774193548384</v>
      </c>
      <c r="Q4" s="136">
        <f>27/69*100</f>
        <v>39.130434782608695</v>
      </c>
      <c r="R4" s="137">
        <f>5/16*100</f>
        <v>31.25</v>
      </c>
      <c r="S4" s="133" t="s">
        <v>36</v>
      </c>
      <c r="T4" s="133" t="s">
        <v>36</v>
      </c>
      <c r="U4" s="133" t="s">
        <v>36</v>
      </c>
      <c r="V4" s="133" t="s">
        <v>36</v>
      </c>
    </row>
    <row r="5" spans="1:22" x14ac:dyDescent="0.3">
      <c r="A5" t="s">
        <v>4</v>
      </c>
      <c r="B5" s="122" t="s">
        <v>36</v>
      </c>
      <c r="C5" s="144">
        <f>30/46*100</f>
        <v>65.217391304347828</v>
      </c>
      <c r="D5" s="145">
        <f>3/3*100</f>
        <v>100</v>
      </c>
      <c r="E5" s="146">
        <f>3/7*100</f>
        <v>42.857142857142854</v>
      </c>
      <c r="F5" s="147">
        <f>8/9*100</f>
        <v>88.888888888888886</v>
      </c>
      <c r="G5" s="145">
        <f>9/15*100</f>
        <v>60</v>
      </c>
      <c r="H5" s="148">
        <f>25/111*100</f>
        <v>22.522522522522522</v>
      </c>
      <c r="I5" s="149">
        <f>32/65*100</f>
        <v>49.230769230769234</v>
      </c>
      <c r="J5" s="146">
        <f>33/33*100</f>
        <v>100</v>
      </c>
      <c r="K5" s="150">
        <f>56/83*100</f>
        <v>67.46987951807229</v>
      </c>
      <c r="L5" s="151">
        <f>12/17*100</f>
        <v>70.588235294117652</v>
      </c>
      <c r="M5" s="152">
        <f>13/26*100</f>
        <v>50</v>
      </c>
      <c r="N5" s="145">
        <f>0/1*100</f>
        <v>0</v>
      </c>
      <c r="O5" s="153">
        <f>13/20*100</f>
        <v>65</v>
      </c>
      <c r="P5" s="144">
        <f>31/45*100</f>
        <v>68.888888888888886</v>
      </c>
      <c r="Q5" s="154">
        <f>24/87*100</f>
        <v>27.586206896551722</v>
      </c>
      <c r="R5" s="155">
        <f>6/15*100</f>
        <v>40</v>
      </c>
      <c r="S5" s="133" t="s">
        <v>36</v>
      </c>
      <c r="T5" s="133" t="s">
        <v>36</v>
      </c>
      <c r="U5" s="133" t="s">
        <v>36</v>
      </c>
      <c r="V5" s="133" t="s">
        <v>36</v>
      </c>
    </row>
    <row r="6" spans="1:22" x14ac:dyDescent="0.3">
      <c r="A6" t="s">
        <v>5</v>
      </c>
      <c r="B6" s="122" t="s">
        <v>36</v>
      </c>
      <c r="C6" s="154">
        <f>19/26*100</f>
        <v>73.076923076923066</v>
      </c>
      <c r="D6" s="163">
        <f>10/10*100</f>
        <v>100</v>
      </c>
      <c r="E6" s="154">
        <f>5/8*100</f>
        <v>62.5</v>
      </c>
      <c r="F6" s="166">
        <f>4/6*100</f>
        <v>66.666666666666657</v>
      </c>
      <c r="G6" s="188">
        <f>11/13*100</f>
        <v>84.615384615384613</v>
      </c>
      <c r="H6" s="193">
        <f>35/79*100</f>
        <v>44.303797468354425</v>
      </c>
      <c r="I6" s="193">
        <f>30/42*100</f>
        <v>71.428571428571431</v>
      </c>
      <c r="J6" s="185">
        <f>18/19*100</f>
        <v>94.73684210526315</v>
      </c>
      <c r="K6" s="194">
        <f>55/68*100</f>
        <v>80.882352941176478</v>
      </c>
      <c r="L6" s="189">
        <f>10/10*100</f>
        <v>100</v>
      </c>
      <c r="M6" s="154">
        <f>12/20*100</f>
        <v>60</v>
      </c>
      <c r="N6" s="163">
        <f>2/2*100</f>
        <v>100</v>
      </c>
      <c r="O6" s="154">
        <f>4/8*100</f>
        <v>50</v>
      </c>
      <c r="P6" s="154">
        <f>26/36*100</f>
        <v>72.222222222222214</v>
      </c>
      <c r="Q6" s="154">
        <f>21/50*100</f>
        <v>42</v>
      </c>
      <c r="R6" s="195">
        <f>9/11*100</f>
        <v>81.818181818181827</v>
      </c>
      <c r="S6" s="133" t="s">
        <v>36</v>
      </c>
      <c r="T6" s="133" t="s">
        <v>36</v>
      </c>
      <c r="U6" s="133" t="s">
        <v>36</v>
      </c>
      <c r="V6" s="133" t="s">
        <v>36</v>
      </c>
    </row>
    <row r="7" spans="1:22" x14ac:dyDescent="0.3">
      <c r="A7" t="s">
        <v>6</v>
      </c>
      <c r="B7" s="122" t="s">
        <v>36</v>
      </c>
      <c r="C7" s="154">
        <f>24/32*100</f>
        <v>75</v>
      </c>
      <c r="D7" s="145">
        <f>8/8*100</f>
        <v>100</v>
      </c>
      <c r="E7" s="144">
        <f>4/5*100</f>
        <v>80</v>
      </c>
      <c r="F7" s="166">
        <f>6/8*100</f>
        <v>75</v>
      </c>
      <c r="G7" s="166">
        <f>10/15*100</f>
        <v>66.666666666666657</v>
      </c>
      <c r="H7" s="183">
        <f>41/82*100</f>
        <v>50</v>
      </c>
      <c r="I7" s="183">
        <f>49/63*100</f>
        <v>77.777777777777786</v>
      </c>
      <c r="J7" s="144">
        <f>24/30*100</f>
        <v>80</v>
      </c>
      <c r="K7" s="183">
        <f>62/85*100</f>
        <v>72.941176470588232</v>
      </c>
      <c r="L7" s="150">
        <f>21/24*100</f>
        <v>87.5</v>
      </c>
      <c r="M7" s="154">
        <f>14/22*100</f>
        <v>63.636363636363633</v>
      </c>
      <c r="N7" s="166">
        <f>3/5*100</f>
        <v>60</v>
      </c>
      <c r="O7" s="154">
        <f>11/12*100</f>
        <v>91.666666666666657</v>
      </c>
      <c r="P7" s="144">
        <f>48/52*100</f>
        <v>92.307692307692307</v>
      </c>
      <c r="Q7" s="154">
        <f>39/75*100</f>
        <v>52</v>
      </c>
      <c r="R7" s="155">
        <f>10/15*100</f>
        <v>66.666666666666657</v>
      </c>
      <c r="S7" s="183">
        <f>1/2*100</f>
        <v>50</v>
      </c>
      <c r="T7" s="133" t="s">
        <v>36</v>
      </c>
      <c r="U7" s="133" t="s">
        <v>36</v>
      </c>
      <c r="V7" s="133" t="s">
        <v>36</v>
      </c>
    </row>
    <row r="8" spans="1:22" x14ac:dyDescent="0.3">
      <c r="A8" t="s">
        <v>7</v>
      </c>
      <c r="B8" s="122" t="s">
        <v>36</v>
      </c>
      <c r="C8" s="144">
        <f>25/30*100</f>
        <v>83.333333333333343</v>
      </c>
      <c r="D8" s="147">
        <f>28/30*100</f>
        <v>93.333333333333329</v>
      </c>
      <c r="E8" s="154">
        <f>7/10*100</f>
        <v>70</v>
      </c>
      <c r="F8" s="166">
        <f>4/8*100</f>
        <v>50</v>
      </c>
      <c r="G8" s="166">
        <f>14/22*100</f>
        <v>63.636363636363633</v>
      </c>
      <c r="H8" s="183">
        <f>16/51*100</f>
        <v>31.372549019607842</v>
      </c>
      <c r="I8" s="183">
        <f>35/88*100</f>
        <v>39.772727272727273</v>
      </c>
      <c r="J8" s="154">
        <f>13/25*100</f>
        <v>52</v>
      </c>
      <c r="K8" s="154">
        <f>32/66*100</f>
        <v>48.484848484848484</v>
      </c>
      <c r="L8" s="183">
        <f>20/26*100</f>
        <v>76.923076923076934</v>
      </c>
      <c r="M8" s="144">
        <f>13/16*100</f>
        <v>81.25</v>
      </c>
      <c r="N8" s="166">
        <f>1/8*100</f>
        <v>12.5</v>
      </c>
      <c r="O8" s="154">
        <f>4/11*100</f>
        <v>36.363636363636367</v>
      </c>
      <c r="P8" s="154">
        <f>20/35*100</f>
        <v>57.142857142857139</v>
      </c>
      <c r="Q8" s="154">
        <f>41/71*100</f>
        <v>57.74647887323944</v>
      </c>
      <c r="R8" s="155">
        <f>7/13*100</f>
        <v>53.846153846153847</v>
      </c>
      <c r="S8" s="183">
        <f>0/3*100</f>
        <v>0</v>
      </c>
      <c r="T8" s="133" t="s">
        <v>36</v>
      </c>
      <c r="U8" s="133" t="s">
        <v>36</v>
      </c>
      <c r="V8" s="133" t="s">
        <v>36</v>
      </c>
    </row>
    <row r="9" spans="1:22" x14ac:dyDescent="0.3">
      <c r="A9" t="s">
        <v>8</v>
      </c>
      <c r="B9" s="122" t="s">
        <v>36</v>
      </c>
      <c r="C9" s="144">
        <f>24/26*100</f>
        <v>92.307692307692307</v>
      </c>
      <c r="D9" s="147">
        <f>11/13*100</f>
        <v>84.615384615384613</v>
      </c>
      <c r="E9" s="154">
        <f>4/7*100</f>
        <v>57.142857142857139</v>
      </c>
      <c r="F9" s="166">
        <f>1/2*100</f>
        <v>50</v>
      </c>
      <c r="G9" s="166">
        <f>14/20*100</f>
        <v>70</v>
      </c>
      <c r="H9" s="190">
        <f>15/46*100</f>
        <v>32.608695652173914</v>
      </c>
      <c r="I9" s="190">
        <f>21/56*100</f>
        <v>37.5</v>
      </c>
      <c r="J9" s="154">
        <f>11/28*100</f>
        <v>39.285714285714285</v>
      </c>
      <c r="K9" s="154">
        <f>19/41*100</f>
        <v>46.341463414634148</v>
      </c>
      <c r="L9" s="190">
        <f>10/15*100</f>
        <v>66.666666666666657</v>
      </c>
      <c r="M9" s="154">
        <f>7/17*100</f>
        <v>41.17647058823529</v>
      </c>
      <c r="N9" s="166">
        <f>7/11*100</f>
        <v>63.636363636363633</v>
      </c>
      <c r="O9" s="154">
        <f>4/8*100</f>
        <v>50</v>
      </c>
      <c r="P9" s="154">
        <f>23/34*100</f>
        <v>67.64705882352942</v>
      </c>
      <c r="Q9" s="154">
        <f>27/57*100</f>
        <v>47.368421052631575</v>
      </c>
      <c r="R9" s="165">
        <f>10/20*100</f>
        <v>50</v>
      </c>
      <c r="S9" s="183">
        <f>0/2*100</f>
        <v>0</v>
      </c>
      <c r="T9" s="154">
        <f>0/1*100</f>
        <v>0</v>
      </c>
      <c r="U9" s="133" t="s">
        <v>36</v>
      </c>
      <c r="V9" s="133" t="s">
        <v>36</v>
      </c>
    </row>
    <row r="10" spans="1:22" x14ac:dyDescent="0.3">
      <c r="A10" t="s">
        <v>9</v>
      </c>
    </row>
    <row r="11" spans="1:22" x14ac:dyDescent="0.3">
      <c r="A11" t="s">
        <v>10</v>
      </c>
    </row>
    <row r="12" spans="1:22" x14ac:dyDescent="0.3">
      <c r="A12" t="s">
        <v>11</v>
      </c>
    </row>
    <row r="13" spans="1:22" x14ac:dyDescent="0.3">
      <c r="A1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3"/>
  <sheetViews>
    <sheetView workbookViewId="0">
      <selection activeCell="C1" sqref="C1:W1048576"/>
    </sheetView>
  </sheetViews>
  <sheetFormatPr defaultRowHeight="14.4" x14ac:dyDescent="0.3"/>
  <cols>
    <col min="1" max="1" width="9.88671875" style="7" customWidth="1"/>
    <col min="2" max="2" width="14.33203125" style="7" customWidth="1"/>
    <col min="3" max="23" width="8.88671875" style="181"/>
  </cols>
  <sheetData>
    <row r="1" spans="1:22" ht="43.2" x14ac:dyDescent="0.3">
      <c r="A1" s="5" t="s">
        <v>23</v>
      </c>
      <c r="B1" s="6" t="s">
        <v>13</v>
      </c>
      <c r="C1" s="168" t="s">
        <v>14</v>
      </c>
      <c r="D1" s="169" t="s">
        <v>30</v>
      </c>
      <c r="E1" s="168" t="s">
        <v>15</v>
      </c>
      <c r="F1" s="169" t="s">
        <v>31</v>
      </c>
      <c r="G1" s="170" t="s">
        <v>16</v>
      </c>
      <c r="H1" s="171" t="s">
        <v>32</v>
      </c>
      <c r="I1" s="172" t="s">
        <v>17</v>
      </c>
      <c r="J1" s="168" t="s">
        <v>18</v>
      </c>
      <c r="K1" s="173" t="s">
        <v>33</v>
      </c>
      <c r="L1" s="172" t="s">
        <v>19</v>
      </c>
      <c r="M1" s="174" t="s">
        <v>20</v>
      </c>
      <c r="N1" s="175" t="s">
        <v>21</v>
      </c>
      <c r="O1" s="174" t="s">
        <v>22</v>
      </c>
      <c r="P1" s="176" t="s">
        <v>25</v>
      </c>
      <c r="Q1" s="176" t="s">
        <v>26</v>
      </c>
      <c r="R1" s="177" t="s">
        <v>27</v>
      </c>
      <c r="S1" s="178" t="s">
        <v>29</v>
      </c>
      <c r="T1" s="179" t="s">
        <v>35</v>
      </c>
      <c r="U1" s="180" t="s">
        <v>28</v>
      </c>
      <c r="V1" s="179" t="s">
        <v>34</v>
      </c>
    </row>
    <row r="2" spans="1:22" x14ac:dyDescent="0.3">
      <c r="A2" s="7" t="s">
        <v>1</v>
      </c>
      <c r="B2" s="4" t="s">
        <v>36</v>
      </c>
      <c r="C2" s="146">
        <f>23/27*100</f>
        <v>85.18518518518519</v>
      </c>
      <c r="D2" s="147">
        <f>7/8*100</f>
        <v>87.5</v>
      </c>
      <c r="E2" s="146">
        <f>7/10*100</f>
        <v>70</v>
      </c>
      <c r="F2" s="147">
        <f>4/8*100</f>
        <v>50</v>
      </c>
      <c r="G2" s="145">
        <f>4/4*100</f>
        <v>100</v>
      </c>
      <c r="H2" s="148">
        <f>40/75*100</f>
        <v>53.333333333333336</v>
      </c>
      <c r="I2" s="182">
        <f>26/38*100</f>
        <v>68.421052631578945</v>
      </c>
      <c r="J2" s="146">
        <f>15/18*100</f>
        <v>83.333333333333343</v>
      </c>
      <c r="K2" s="183">
        <f>15/29*100</f>
        <v>51.724137931034484</v>
      </c>
      <c r="L2" s="182">
        <f>9/16*100</f>
        <v>56.25</v>
      </c>
      <c r="M2" s="153">
        <f>12/18*100</f>
        <v>66.666666666666657</v>
      </c>
      <c r="N2" s="163">
        <f>8/9*100</f>
        <v>88.888888888888886</v>
      </c>
      <c r="O2" s="153">
        <f>8/12*100</f>
        <v>66.666666666666657</v>
      </c>
      <c r="P2" s="144">
        <f>28/38*100</f>
        <v>73.68421052631578</v>
      </c>
      <c r="Q2" s="144">
        <f>24/43*100</f>
        <v>55.813953488372093</v>
      </c>
      <c r="R2" s="184">
        <f>4/8*100</f>
        <v>50</v>
      </c>
      <c r="S2" s="181" t="s">
        <v>36</v>
      </c>
      <c r="T2" s="181" t="s">
        <v>36</v>
      </c>
      <c r="U2" s="181" t="s">
        <v>36</v>
      </c>
      <c r="V2" s="181" t="s">
        <v>36</v>
      </c>
    </row>
    <row r="3" spans="1:22" x14ac:dyDescent="0.3">
      <c r="A3" s="7" t="s">
        <v>2</v>
      </c>
      <c r="B3" s="4" t="s">
        <v>36</v>
      </c>
      <c r="C3" s="146">
        <f>17/26*100</f>
        <v>65.384615384615387</v>
      </c>
      <c r="D3" s="145">
        <f>4/5*100</f>
        <v>80</v>
      </c>
      <c r="E3" s="146">
        <f>6/8*100</f>
        <v>75</v>
      </c>
      <c r="F3" s="145">
        <f>4/6*100</f>
        <v>66.666666666666657</v>
      </c>
      <c r="G3" s="145">
        <f>5/8*100</f>
        <v>62.5</v>
      </c>
      <c r="H3" s="148">
        <f>34/81*100</f>
        <v>41.975308641975303</v>
      </c>
      <c r="I3" s="149">
        <f>22/38*100</f>
        <v>57.894736842105267</v>
      </c>
      <c r="J3" s="146">
        <f>13/21*100</f>
        <v>61.904761904761905</v>
      </c>
      <c r="K3" s="183">
        <f>26/47*100</f>
        <v>55.319148936170215</v>
      </c>
      <c r="L3" s="182">
        <f>10/22*100</f>
        <v>45.454545454545453</v>
      </c>
      <c r="M3" s="185">
        <f>11/19*100</f>
        <v>57.894736842105267</v>
      </c>
      <c r="N3" s="163">
        <f>2/2*100</f>
        <v>100</v>
      </c>
      <c r="O3" s="185">
        <f>9/17*100</f>
        <v>52.941176470588239</v>
      </c>
      <c r="P3" s="144">
        <f>42/64*100</f>
        <v>65.625</v>
      </c>
      <c r="Q3" s="154">
        <f>31/72*100</f>
        <v>43.055555555555557</v>
      </c>
      <c r="R3" s="155">
        <f>4/12*100</f>
        <v>33.333333333333329</v>
      </c>
      <c r="S3" s="186">
        <f>0/1*100</f>
        <v>0</v>
      </c>
      <c r="T3" s="181" t="s">
        <v>36</v>
      </c>
      <c r="U3" s="187">
        <f>1/1*100</f>
        <v>100</v>
      </c>
      <c r="V3" s="181" t="s">
        <v>36</v>
      </c>
    </row>
    <row r="4" spans="1:22" x14ac:dyDescent="0.3">
      <c r="A4" s="7" t="s">
        <v>3</v>
      </c>
      <c r="B4" s="4" t="s">
        <v>36</v>
      </c>
      <c r="C4" s="146">
        <f>21/36*100</f>
        <v>58.333333333333336</v>
      </c>
      <c r="D4" s="145">
        <f>2/3*100</f>
        <v>66.666666666666657</v>
      </c>
      <c r="E4" s="146">
        <f>1/2*100</f>
        <v>50</v>
      </c>
      <c r="F4" s="145">
        <f>3/4*100</f>
        <v>75</v>
      </c>
      <c r="G4" s="188">
        <f>7/11*100</f>
        <v>63.636363636363633</v>
      </c>
      <c r="H4" s="148">
        <f>54/95*100</f>
        <v>56.84210526315789</v>
      </c>
      <c r="I4" s="149">
        <f>37/41*100</f>
        <v>90.243902439024396</v>
      </c>
      <c r="J4" s="146">
        <f>18/18*100</f>
        <v>100</v>
      </c>
      <c r="K4" s="189">
        <f>45/69*100</f>
        <v>65.217391304347828</v>
      </c>
      <c r="L4" s="150">
        <f>15/19*100</f>
        <v>78.94736842105263</v>
      </c>
      <c r="M4" s="185">
        <f>13/19*100</f>
        <v>68.421052631578945</v>
      </c>
      <c r="N4" s="166">
        <f>2/3*100</f>
        <v>66.666666666666657</v>
      </c>
      <c r="O4" s="153">
        <f>7/10*100</f>
        <v>70</v>
      </c>
      <c r="P4" s="144">
        <f>46/62*100</f>
        <v>74.193548387096769</v>
      </c>
      <c r="Q4" s="154">
        <f>25/69*100</f>
        <v>36.231884057971016</v>
      </c>
      <c r="R4" s="155">
        <f>5/16*100</f>
        <v>31.25</v>
      </c>
      <c r="S4" s="181" t="s">
        <v>36</v>
      </c>
      <c r="T4" s="181" t="s">
        <v>36</v>
      </c>
      <c r="U4" s="181" t="s">
        <v>36</v>
      </c>
      <c r="V4" s="181" t="s">
        <v>36</v>
      </c>
    </row>
    <row r="5" spans="1:22" x14ac:dyDescent="0.3">
      <c r="A5" s="7" t="s">
        <v>4</v>
      </c>
      <c r="B5" s="4" t="s">
        <v>36</v>
      </c>
      <c r="C5" s="144">
        <f>30/46*100</f>
        <v>65.217391304347828</v>
      </c>
      <c r="D5" s="145">
        <f>3/3*100</f>
        <v>100</v>
      </c>
      <c r="E5" s="146">
        <f>3/7*100</f>
        <v>42.857142857142854</v>
      </c>
      <c r="F5" s="147">
        <f>5/9*100</f>
        <v>55.555555555555557</v>
      </c>
      <c r="G5" s="145">
        <f>9/15*100</f>
        <v>60</v>
      </c>
      <c r="H5" s="148">
        <f>23/111*100</f>
        <v>20.72072072072072</v>
      </c>
      <c r="I5" s="149">
        <f>23/65*100</f>
        <v>35.384615384615387</v>
      </c>
      <c r="J5" s="146">
        <f>28/33*100</f>
        <v>84.848484848484844</v>
      </c>
      <c r="K5" s="150">
        <f>54/83*100</f>
        <v>65.060240963855421</v>
      </c>
      <c r="L5" s="151">
        <f>8/17*100</f>
        <v>47.058823529411761</v>
      </c>
      <c r="M5" s="152">
        <f>13/26*100</f>
        <v>50</v>
      </c>
      <c r="N5" s="145">
        <f>0/1*100</f>
        <v>0</v>
      </c>
      <c r="O5" s="153">
        <f>12/20*100</f>
        <v>60</v>
      </c>
      <c r="P5" s="144">
        <f>27/45*100</f>
        <v>60</v>
      </c>
      <c r="Q5" s="154">
        <f>20/87*100</f>
        <v>22.988505747126435</v>
      </c>
      <c r="R5" s="155">
        <f>6/15*100</f>
        <v>40</v>
      </c>
      <c r="S5" s="181" t="s">
        <v>36</v>
      </c>
      <c r="T5" s="181" t="s">
        <v>36</v>
      </c>
      <c r="U5" s="181" t="s">
        <v>36</v>
      </c>
      <c r="V5" s="181" t="s">
        <v>36</v>
      </c>
    </row>
    <row r="6" spans="1:22" x14ac:dyDescent="0.3">
      <c r="A6" s="7" t="s">
        <v>5</v>
      </c>
      <c r="B6" s="4" t="s">
        <v>36</v>
      </c>
      <c r="C6" s="156">
        <f>19/26*100</f>
        <v>73.076923076923066</v>
      </c>
      <c r="D6" s="157">
        <f>10/10*100</f>
        <v>100</v>
      </c>
      <c r="E6" s="156">
        <f>4/8*100</f>
        <v>50</v>
      </c>
      <c r="F6" s="157">
        <f>4/6*100</f>
        <v>66.666666666666657</v>
      </c>
      <c r="G6" s="157">
        <f>11/13*100</f>
        <v>84.615384615384613</v>
      </c>
      <c r="H6" s="158">
        <f>31/79*100</f>
        <v>39.24050632911392</v>
      </c>
      <c r="I6" s="159">
        <f>21/42*100</f>
        <v>50</v>
      </c>
      <c r="J6" s="156">
        <f>9/19*100</f>
        <v>47.368421052631575</v>
      </c>
      <c r="K6" s="160">
        <v>46</v>
      </c>
      <c r="L6" s="160">
        <f>8/10*100</f>
        <v>80</v>
      </c>
      <c r="M6" s="156">
        <f>12/20*100</f>
        <v>60</v>
      </c>
      <c r="N6" s="157">
        <f>2/2*100</f>
        <v>100</v>
      </c>
      <c r="O6" s="156">
        <f>4/8*100</f>
        <v>50</v>
      </c>
      <c r="P6" s="156">
        <f>24/36*100</f>
        <v>66.666666666666657</v>
      </c>
      <c r="Q6" s="156">
        <f>19/50*100</f>
        <v>38</v>
      </c>
      <c r="R6" s="161">
        <f>9/11*100</f>
        <v>81.818181818181827</v>
      </c>
      <c r="S6" s="181" t="s">
        <v>36</v>
      </c>
      <c r="T6" s="181" t="s">
        <v>36</v>
      </c>
      <c r="U6" s="181" t="s">
        <v>36</v>
      </c>
      <c r="V6" s="181" t="s">
        <v>36</v>
      </c>
    </row>
    <row r="7" spans="1:22" x14ac:dyDescent="0.3">
      <c r="A7" s="7" t="s">
        <v>6</v>
      </c>
      <c r="B7" s="4" t="s">
        <v>36</v>
      </c>
      <c r="C7" s="154">
        <f>22/32*100</f>
        <v>68.75</v>
      </c>
      <c r="D7" s="145">
        <f>8/8*100</f>
        <v>100</v>
      </c>
      <c r="E7" s="144">
        <f>4/5*100</f>
        <v>80</v>
      </c>
      <c r="F7" s="166">
        <f>4/8*100</f>
        <v>50</v>
      </c>
      <c r="G7" s="166">
        <f>9/15*100</f>
        <v>60</v>
      </c>
      <c r="H7" s="183">
        <f>34/82*100</f>
        <v>41.463414634146339</v>
      </c>
      <c r="I7" s="183">
        <f>40/63*100</f>
        <v>63.492063492063487</v>
      </c>
      <c r="J7" s="154">
        <f>22/30*100</f>
        <v>73.333333333333329</v>
      </c>
      <c r="K7" s="183">
        <f>53/85*100</f>
        <v>62.352941176470587</v>
      </c>
      <c r="L7" s="183">
        <f>15/24*100</f>
        <v>62.5</v>
      </c>
      <c r="M7" s="154">
        <f>12/22*100</f>
        <v>54.54545454545454</v>
      </c>
      <c r="N7" s="166">
        <f>3/5*100</f>
        <v>60</v>
      </c>
      <c r="O7" s="154">
        <f>11/12*100</f>
        <v>91.666666666666657</v>
      </c>
      <c r="P7" s="144">
        <f>43/52*100</f>
        <v>82.692307692307693</v>
      </c>
      <c r="Q7" s="154">
        <f>31/75*100</f>
        <v>41.333333333333336</v>
      </c>
      <c r="R7" s="155">
        <f>10/15*100</f>
        <v>66.666666666666657</v>
      </c>
      <c r="S7" s="183">
        <f>1/2*100</f>
        <v>50</v>
      </c>
      <c r="T7" s="181" t="s">
        <v>36</v>
      </c>
      <c r="U7" s="181" t="s">
        <v>36</v>
      </c>
      <c r="V7" s="181" t="s">
        <v>36</v>
      </c>
    </row>
    <row r="8" spans="1:22" x14ac:dyDescent="0.3">
      <c r="A8" s="7" t="s">
        <v>7</v>
      </c>
      <c r="B8" s="4" t="s">
        <v>36</v>
      </c>
      <c r="C8" s="144">
        <f>24/30*100</f>
        <v>80</v>
      </c>
      <c r="D8" s="147">
        <f>28/30*100</f>
        <v>93.333333333333329</v>
      </c>
      <c r="E8" s="154">
        <f>6/10*100</f>
        <v>60</v>
      </c>
      <c r="F8" s="166">
        <f>4/8*100</f>
        <v>50</v>
      </c>
      <c r="G8" s="166">
        <f>12/22*100</f>
        <v>54.54545454545454</v>
      </c>
      <c r="H8" s="183">
        <f>15/51*100</f>
        <v>29.411764705882355</v>
      </c>
      <c r="I8" s="183">
        <f>25/88*100</f>
        <v>28.40909090909091</v>
      </c>
      <c r="J8" s="154">
        <f>8/23*100</f>
        <v>34.782608695652172</v>
      </c>
      <c r="K8" s="154">
        <f>28/66*100</f>
        <v>42.424242424242422</v>
      </c>
      <c r="L8" s="183">
        <f>6/26*100</f>
        <v>23.076923076923077</v>
      </c>
      <c r="M8" s="154">
        <f>11/15*100</f>
        <v>73.333333333333329</v>
      </c>
      <c r="N8" s="166">
        <f>1/8*100</f>
        <v>12.5</v>
      </c>
      <c r="O8" s="154">
        <f>2/11*100</f>
        <v>18.181818181818183</v>
      </c>
      <c r="P8" s="154">
        <f>9/35*100</f>
        <v>25.714285714285712</v>
      </c>
      <c r="Q8" s="154">
        <f>38/71*100</f>
        <v>53.521126760563376</v>
      </c>
      <c r="R8" s="155">
        <f>7/13*100</f>
        <v>53.846153846153847</v>
      </c>
      <c r="S8" s="183">
        <f>0/3*100</f>
        <v>0</v>
      </c>
      <c r="T8" s="181" t="s">
        <v>36</v>
      </c>
      <c r="U8" s="181" t="s">
        <v>36</v>
      </c>
      <c r="V8" s="181" t="s">
        <v>36</v>
      </c>
    </row>
    <row r="9" spans="1:22" x14ac:dyDescent="0.3">
      <c r="A9" s="7" t="s">
        <v>8</v>
      </c>
      <c r="B9" s="4" t="s">
        <v>36</v>
      </c>
      <c r="C9" s="144">
        <f>22/26*100</f>
        <v>84.615384615384613</v>
      </c>
      <c r="D9" s="166">
        <f>8/13*100</f>
        <v>61.53846153846154</v>
      </c>
      <c r="E9" s="154">
        <f>4/7*100</f>
        <v>57.142857142857139</v>
      </c>
      <c r="F9" s="166">
        <f>1/2*100</f>
        <v>50</v>
      </c>
      <c r="G9" s="166">
        <f>14/20*100</f>
        <v>70</v>
      </c>
      <c r="H9" s="190">
        <f>15/46*100</f>
        <v>32.608695652173914</v>
      </c>
      <c r="I9" s="190">
        <f>19/56*100</f>
        <v>33.928571428571431</v>
      </c>
      <c r="J9" s="154">
        <f>9/28*100</f>
        <v>32.142857142857146</v>
      </c>
      <c r="K9" s="154">
        <f>19/41*100</f>
        <v>46.341463414634148</v>
      </c>
      <c r="L9" s="190">
        <f>5/15*100</f>
        <v>33.333333333333329</v>
      </c>
      <c r="M9" s="154">
        <f>5/17*100</f>
        <v>29.411764705882355</v>
      </c>
      <c r="N9" s="166">
        <f>7/11*100</f>
        <v>63.636363636363633</v>
      </c>
      <c r="O9" s="154">
        <f>4/8*100</f>
        <v>50</v>
      </c>
      <c r="P9" s="154">
        <f>15/34*100</f>
        <v>44.117647058823529</v>
      </c>
      <c r="Q9" s="154">
        <f>27/57*100</f>
        <v>47.368421052631575</v>
      </c>
      <c r="R9" s="165">
        <f>9/20*100</f>
        <v>45</v>
      </c>
      <c r="S9" s="183">
        <f>0/2*100</f>
        <v>0</v>
      </c>
      <c r="T9" s="154">
        <f>0/1*100</f>
        <v>0</v>
      </c>
      <c r="U9" s="181" t="s">
        <v>36</v>
      </c>
      <c r="V9" s="181" t="s">
        <v>36</v>
      </c>
    </row>
    <row r="10" spans="1:22" x14ac:dyDescent="0.3">
      <c r="A10" s="7" t="s">
        <v>9</v>
      </c>
    </row>
    <row r="11" spans="1:22" x14ac:dyDescent="0.3">
      <c r="A11" s="7" t="s">
        <v>10</v>
      </c>
    </row>
    <row r="12" spans="1:22" x14ac:dyDescent="0.3">
      <c r="A12" s="7" t="s">
        <v>11</v>
      </c>
    </row>
    <row r="13" spans="1:22" x14ac:dyDescent="0.3">
      <c r="A13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No. of Surgeries</vt:lpstr>
      <vt:lpstr>Right Choice</vt:lpstr>
      <vt:lpstr>Right Dose</vt:lpstr>
      <vt:lpstr>Right Time</vt:lpstr>
      <vt:lpstr>Stopped within 24 hours</vt:lpstr>
      <vt:lpstr>No discharge Prophylaxis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Chauhan ( AV0132 )</dc:creator>
  <cp:lastModifiedBy>Dr Shubhra Anand</cp:lastModifiedBy>
  <dcterms:created xsi:type="dcterms:W3CDTF">2025-09-22T10:47:00Z</dcterms:created>
  <dcterms:modified xsi:type="dcterms:W3CDTF">2025-09-22T16:10:34Z</dcterms:modified>
</cp:coreProperties>
</file>